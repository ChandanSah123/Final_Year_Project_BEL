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final year project\Final_Year_Project_BEL\TEF_Framework\Calculations\39 Bus\"/>
    </mc:Choice>
  </mc:AlternateContent>
  <xr:revisionPtr revIDLastSave="0" documentId="13_ncr:1_{94E1414D-A94E-48A5-888F-393552ED77ED}" xr6:coauthVersionLast="36" xr6:coauthVersionMax="36" xr10:uidLastSave="{00000000-0000-0000-0000-000000000000}"/>
  <bookViews>
    <workbookView minimized="1" xWindow="0" yWindow="0" windowWidth="23040" windowHeight="9360" xr2:uid="{879DF73F-615F-46C8-BFB7-CD33A32BAA6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3" i="1"/>
  <c r="P15" i="1"/>
  <c r="Q15" i="1"/>
  <c r="R15" i="1" s="1"/>
  <c r="P14" i="1"/>
  <c r="Q14" i="1" s="1"/>
  <c r="R14" i="1" s="1"/>
  <c r="P13" i="1"/>
  <c r="Q13" i="1" s="1"/>
  <c r="R13" i="1" s="1"/>
  <c r="N13" i="1"/>
  <c r="N14" i="1"/>
  <c r="N15" i="1"/>
  <c r="M13" i="1"/>
  <c r="M14" i="1"/>
  <c r="M15" i="1"/>
  <c r="L13" i="1"/>
  <c r="L14" i="1"/>
  <c r="L15" i="1"/>
  <c r="K13" i="1"/>
  <c r="K14" i="1"/>
  <c r="K15" i="1"/>
  <c r="J13" i="1"/>
  <c r="J14" i="1"/>
  <c r="J15" i="1"/>
  <c r="I13" i="1"/>
  <c r="I14" i="1"/>
  <c r="I15" i="1"/>
  <c r="H13" i="1"/>
  <c r="H14" i="1"/>
  <c r="H15" i="1"/>
  <c r="H4" i="1"/>
  <c r="H5" i="1"/>
  <c r="H6" i="1"/>
  <c r="H7" i="1"/>
  <c r="H8" i="1"/>
  <c r="H9" i="1"/>
  <c r="H10" i="1"/>
  <c r="J10" i="1" s="1"/>
  <c r="H11" i="1"/>
  <c r="J11" i="1" s="1"/>
  <c r="H12" i="1"/>
  <c r="J12" i="1" s="1"/>
  <c r="H3" i="1"/>
  <c r="J3" i="1" s="1"/>
  <c r="P4" i="1"/>
  <c r="P5" i="1"/>
  <c r="P6" i="1"/>
  <c r="P7" i="1"/>
  <c r="P8" i="1"/>
  <c r="P9" i="1"/>
  <c r="P10" i="1"/>
  <c r="P11" i="1"/>
  <c r="P12" i="1"/>
  <c r="P3" i="1"/>
  <c r="I3" i="1"/>
  <c r="K3" i="1" s="1"/>
  <c r="I4" i="1"/>
  <c r="I5" i="1"/>
  <c r="I6" i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J7" i="1"/>
  <c r="J8" i="1"/>
  <c r="J9" i="1"/>
  <c r="K4" i="1"/>
  <c r="K5" i="1"/>
  <c r="K6" i="1"/>
  <c r="J4" i="1"/>
  <c r="J5" i="1"/>
  <c r="J6" i="1"/>
  <c r="S15" i="1" l="1"/>
  <c r="S14" i="1"/>
  <c r="S13" i="1"/>
  <c r="L6" i="1"/>
  <c r="M6" i="1" s="1"/>
  <c r="N6" i="1" s="1"/>
  <c r="Q6" i="1" s="1"/>
  <c r="R6" i="1" s="1"/>
  <c r="S6" i="1" s="1"/>
  <c r="L10" i="1"/>
  <c r="M10" i="1" s="1"/>
  <c r="N10" i="1" s="1"/>
  <c r="Q10" i="1" s="1"/>
  <c r="R10" i="1" s="1"/>
  <c r="S10" i="1" s="1"/>
  <c r="L9" i="1"/>
  <c r="M9" i="1" s="1"/>
  <c r="N9" i="1" s="1"/>
  <c r="Q9" i="1" s="1"/>
  <c r="R9" i="1" s="1"/>
  <c r="S9" i="1" s="1"/>
  <c r="L8" i="1"/>
  <c r="M8" i="1" s="1"/>
  <c r="N8" i="1" s="1"/>
  <c r="Q8" i="1" s="1"/>
  <c r="R8" i="1" s="1"/>
  <c r="S8" i="1" s="1"/>
  <c r="L5" i="1"/>
  <c r="M5" i="1" s="1"/>
  <c r="N5" i="1" s="1"/>
  <c r="Q5" i="1" s="1"/>
  <c r="R5" i="1" s="1"/>
  <c r="S5" i="1" s="1"/>
  <c r="L12" i="1"/>
  <c r="M12" i="1" s="1"/>
  <c r="N12" i="1" s="1"/>
  <c r="Q12" i="1" s="1"/>
  <c r="R12" i="1" s="1"/>
  <c r="S12" i="1" s="1"/>
  <c r="L11" i="1"/>
  <c r="M11" i="1" s="1"/>
  <c r="N11" i="1" s="1"/>
  <c r="Q11" i="1" s="1"/>
  <c r="R11" i="1" s="1"/>
  <c r="S11" i="1" s="1"/>
  <c r="L7" i="1"/>
  <c r="M7" i="1" s="1"/>
  <c r="N7" i="1" s="1"/>
  <c r="Q7" i="1" s="1"/>
  <c r="R7" i="1" s="1"/>
  <c r="S7" i="1" s="1"/>
  <c r="L4" i="1"/>
  <c r="M4" i="1" s="1"/>
  <c r="N4" i="1" s="1"/>
  <c r="Q4" i="1" s="1"/>
  <c r="R4" i="1" s="1"/>
  <c r="S4" i="1" s="1"/>
  <c r="L3" i="1"/>
  <c r="M3" i="1" s="1"/>
  <c r="N3" i="1" s="1"/>
  <c r="Q3" i="1" s="1"/>
  <c r="R3" i="1" s="1"/>
  <c r="S3" i="1" s="1"/>
</calcChain>
</file>

<file path=xl/sharedStrings.xml><?xml version="1.0" encoding="utf-8"?>
<sst xmlns="http://schemas.openxmlformats.org/spreadsheetml/2006/main" count="18" uniqueCount="18">
  <si>
    <t>P</t>
  </si>
  <si>
    <t>Q</t>
  </si>
  <si>
    <t>del</t>
  </si>
  <si>
    <t>Bus</t>
  </si>
  <si>
    <t>V</t>
  </si>
  <si>
    <t>S=P+jQ</t>
  </si>
  <si>
    <t>V(complex)</t>
  </si>
  <si>
    <t>rounded S</t>
  </si>
  <si>
    <t>Rounded V</t>
  </si>
  <si>
    <t>Iconj</t>
  </si>
  <si>
    <t>I</t>
  </si>
  <si>
    <t>Round I</t>
  </si>
  <si>
    <t>xd'</t>
  </si>
  <si>
    <t>cmplx xd'</t>
  </si>
  <si>
    <t>E</t>
  </si>
  <si>
    <t>E FINAL</t>
  </si>
  <si>
    <t>E ABS</t>
  </si>
  <si>
    <t>E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</si>
</sst>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CA74-521A-4EF9-8E99-F3EE393AACEC}">
  <dimension ref="C2:T15"/>
  <sheetViews>
    <sheetView tabSelected="1" topLeftCell="P1" workbookViewId="0">
      <selection activeCell="S13" sqref="S13:S15"/>
    </sheetView>
  </sheetViews>
  <sheetFormatPr defaultRowHeight="14.4" x14ac:dyDescent="0.3"/>
  <cols>
    <col min="7" max="7" width="7.109375" customWidth="1"/>
    <col min="8" max="8" width="14.109375" customWidth="1"/>
    <col min="9" max="9" width="14.88671875" customWidth="1"/>
    <col min="10" max="10" width="17" customWidth="1"/>
    <col min="11" max="11" width="9.109375" customWidth="1"/>
    <col min="13" max="13" width="6.21875" customWidth="1"/>
    <col min="14" max="14" width="18.88671875" customWidth="1"/>
    <col min="15" max="15" width="7.88671875" customWidth="1"/>
    <col min="16" max="16" width="8.33203125" customWidth="1"/>
    <col min="17" max="17" width="7.44140625" customWidth="1"/>
    <col min="18" max="18" width="15.44140625" customWidth="1"/>
    <col min="19" max="19" width="12.44140625" customWidth="1"/>
    <col min="20" max="20" width="10.33203125" customWidth="1"/>
    <col min="21" max="21" width="12.33203125" customWidth="1"/>
    <col min="22" max="22" width="12.88671875" customWidth="1"/>
  </cols>
  <sheetData>
    <row r="2" spans="3:20" x14ac:dyDescent="0.3">
      <c r="C2" t="s">
        <v>3</v>
      </c>
      <c r="D2" t="s">
        <v>0</v>
      </c>
      <c r="E2" t="s">
        <v>1</v>
      </c>
      <c r="F2" t="s">
        <v>4</v>
      </c>
      <c r="G2" t="s">
        <v>2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</row>
    <row r="3" spans="3:20" x14ac:dyDescent="0.3">
      <c r="C3">
        <v>30</v>
      </c>
      <c r="D3">
        <v>250</v>
      </c>
      <c r="E3">
        <v>149.54771423339801</v>
      </c>
      <c r="F3">
        <v>1.047500014305115</v>
      </c>
      <c r="G3">
        <v>-3.3013627572589659</v>
      </c>
      <c r="H3" t="str">
        <f>IMDIV(COMPLEX(D3, E3, "i"),100)</f>
        <v>2.5+1.49547714233398i</v>
      </c>
      <c r="I3" t="str">
        <f>COMPLEX(F3*COS(RADIANS(G3)), F3*SIN(RADIANS(G3)), "i")</f>
        <v>1.04576163271733-0.0603231921039201i</v>
      </c>
      <c r="J3" t="str">
        <f>COMPLEX(ROUND(IMREAL(H3), 4), ROUND(IMAGINARY(H3), 4))</f>
        <v>2.5+1.4955i</v>
      </c>
      <c r="K3" t="str">
        <f>COMPLEX(ROUND(IMREAL(I3), 4), ROUND(IMAGINARY(I3), 4))</f>
        <v>1.0458-0.0603i</v>
      </c>
      <c r="L3" t="str">
        <f>IMDIV(J3, K3)</f>
        <v>2.30041352141796+1.56264575955393i</v>
      </c>
      <c r="M3" t="str">
        <f>IMCONJUGATE(L3)</f>
        <v>2.30041352141796-1.56264575955393i</v>
      </c>
      <c r="N3" t="str">
        <f>COMPLEX(ROUND(IMREAL(M3), 4), ROUND(IMAGINARY(M3), 4))</f>
        <v>2.3004-1.5626i</v>
      </c>
      <c r="O3">
        <v>6.0000000000000001E-3</v>
      </c>
      <c r="P3" t="str">
        <f>COMPLEX(0, O3, "i")</f>
        <v>0.006i</v>
      </c>
      <c r="Q3" t="str">
        <f>IMSUM(K3,IMPRODUCT(N3,P3))</f>
        <v>1.0551756-0.0464976i</v>
      </c>
      <c r="R3" t="str">
        <f>COMPLEX(ROUND(IMREAL(Q3), 4), ROUND(IMAGINARY(Q3), 4))</f>
        <v>1.0552-0.0465i</v>
      </c>
      <c r="S3" s="1">
        <f>IMABS(R3)</f>
        <v>1.0562240718711158</v>
      </c>
      <c r="T3" s="1">
        <f xml:space="preserve"> (IMARGUMENT(R3))</f>
        <v>-4.4038983051618699E-2</v>
      </c>
    </row>
    <row r="4" spans="3:20" x14ac:dyDescent="0.3">
      <c r="C4">
        <v>31</v>
      </c>
      <c r="D4">
        <v>510.1854248046875</v>
      </c>
      <c r="E4">
        <v>196.1340026855469</v>
      </c>
      <c r="F4">
        <v>0.98199999332427979</v>
      </c>
      <c r="G4">
        <v>0</v>
      </c>
      <c r="H4" t="str">
        <f t="shared" ref="H4:H15" si="0">IMDIV(COMPLEX(D4, E4, "i"),100)</f>
        <v>5.10185424804688+1.96134002685547i</v>
      </c>
      <c r="I4" t="str">
        <f t="shared" ref="I4:I15" si="1">COMPLEX(F4*COS(RADIANS(G4)), F4*SIN(RADIANS(G4)), "i")</f>
        <v>0.98199999332428</v>
      </c>
      <c r="J4" t="str">
        <f t="shared" ref="J4:J15" si="2">COMPLEX(ROUND(IMREAL(H4), 4), ROUND(IMAGINARY(H4), 4))</f>
        <v>5.1019+1.9613i</v>
      </c>
      <c r="K4" t="str">
        <f t="shared" ref="K4:K15" si="3">COMPLEX(ROUND(IMREAL(I4), 4), ROUND(IMAGINARY(I4), 4))</f>
        <v>0.982</v>
      </c>
      <c r="L4" t="str">
        <f t="shared" ref="L4:L15" si="4">IMDIV(J4, K4)</f>
        <v>5.19541751527495+1.99725050916497i</v>
      </c>
      <c r="M4" t="str">
        <f t="shared" ref="M4:M15" si="5">IMCONJUGATE(L4)</f>
        <v>5.19541751527495-1.99725050916497i</v>
      </c>
      <c r="N4" t="str">
        <f t="shared" ref="N4:N15" si="6">COMPLEX(ROUND(IMREAL(M4), 4), ROUND(IMAGINARY(M4), 4))</f>
        <v>5.1954-1.9973i</v>
      </c>
      <c r="O4">
        <v>6.9699999999999998E-2</v>
      </c>
      <c r="P4" t="str">
        <f t="shared" ref="P4:P15" si="7">COMPLEX(0, O4, "i")</f>
        <v>0.0697i</v>
      </c>
      <c r="Q4" t="str">
        <f t="shared" ref="Q4:Q15" si="8">IMSUM(K4,IMPRODUCT(N4,P4))</f>
        <v>1.12121181+0.36211938i</v>
      </c>
      <c r="R4" t="str">
        <f t="shared" ref="R4:R15" si="9">COMPLEX(ROUND(IMREAL(Q4), 4), ROUND(IMAGINARY(Q4), 4))</f>
        <v>1.1212+0.3621i</v>
      </c>
      <c r="S4" s="1">
        <f t="shared" ref="S4:S15" si="10">IMABS(R4)</f>
        <v>1.1782214774820565</v>
      </c>
      <c r="T4" s="1">
        <f t="shared" ref="T4:T15" si="11" xml:space="preserve"> (IMARGUMENT(R4))</f>
        <v>0.3123834611639536</v>
      </c>
    </row>
    <row r="5" spans="3:20" x14ac:dyDescent="0.3">
      <c r="C5">
        <v>32</v>
      </c>
      <c r="D5">
        <v>650</v>
      </c>
      <c r="E5">
        <v>208.7718200683594</v>
      </c>
      <c r="F5">
        <v>0.98309999704360962</v>
      </c>
      <c r="G5">
        <v>2.6028743155612579</v>
      </c>
      <c r="H5" t="str">
        <f t="shared" si="0"/>
        <v>6.5+2.08771820068359i</v>
      </c>
      <c r="I5" t="str">
        <f t="shared" si="1"/>
        <v>0.982085725739394+0.0446456211298776i</v>
      </c>
      <c r="J5" t="str">
        <f t="shared" si="2"/>
        <v>6.5+2.0877i</v>
      </c>
      <c r="K5" t="str">
        <f t="shared" si="3"/>
        <v>0.9821+0.0446i</v>
      </c>
      <c r="L5" t="str">
        <f t="shared" si="4"/>
        <v>6.70118705601642+1.82143066622713i</v>
      </c>
      <c r="M5" t="str">
        <f t="shared" si="5"/>
        <v>6.70118705601642-1.82143066622713i</v>
      </c>
      <c r="N5" t="str">
        <f t="shared" si="6"/>
        <v>6.7012-1.8214i</v>
      </c>
      <c r="O5">
        <v>5.3100000000000001E-2</v>
      </c>
      <c r="P5" t="str">
        <f t="shared" si="7"/>
        <v>0.0531i</v>
      </c>
      <c r="Q5" t="str">
        <f t="shared" si="8"/>
        <v>1.07881634+0.40043372i</v>
      </c>
      <c r="R5" t="str">
        <f t="shared" si="9"/>
        <v>1.0788+0.4004i</v>
      </c>
      <c r="S5" s="1">
        <f t="shared" si="10"/>
        <v>1.1507083036113017</v>
      </c>
      <c r="T5" s="1">
        <f t="shared" si="11"/>
        <v>0.35539381667551623</v>
      </c>
    </row>
    <row r="6" spans="3:20" x14ac:dyDescent="0.3">
      <c r="C6">
        <v>33</v>
      </c>
      <c r="D6">
        <v>632</v>
      </c>
      <c r="E6">
        <v>155.21205139160159</v>
      </c>
      <c r="F6">
        <v>0.99720001220703125</v>
      </c>
      <c r="G6">
        <v>4.3194009589454856</v>
      </c>
      <c r="H6" t="str">
        <f t="shared" si="0"/>
        <v>6.32+1.55212051391602i</v>
      </c>
      <c r="I6" t="str">
        <f t="shared" si="1"/>
        <v>0.994367652812465+0.075105495044855i</v>
      </c>
      <c r="J6" t="str">
        <f t="shared" si="2"/>
        <v>6.32+1.5521i</v>
      </c>
      <c r="K6" t="str">
        <f t="shared" si="3"/>
        <v>0.9944+0.0751i</v>
      </c>
      <c r="L6" t="str">
        <f t="shared" si="4"/>
        <v>6.43675715873047+1.07471795794383i</v>
      </c>
      <c r="M6" t="str">
        <f t="shared" si="5"/>
        <v>6.43675715873047-1.07471795794383i</v>
      </c>
      <c r="N6" t="str">
        <f t="shared" si="6"/>
        <v>6.4368-1.0747i</v>
      </c>
      <c r="O6">
        <v>4.36E-2</v>
      </c>
      <c r="P6" t="str">
        <f t="shared" si="7"/>
        <v>0.0436i</v>
      </c>
      <c r="Q6" t="str">
        <f t="shared" si="8"/>
        <v>1.04125692+0.35574448i</v>
      </c>
      <c r="R6" t="str">
        <f t="shared" si="9"/>
        <v>1.0413+0.3557i</v>
      </c>
      <c r="S6" s="1">
        <f t="shared" si="10"/>
        <v>1.1003763810624072</v>
      </c>
      <c r="T6" s="1">
        <f t="shared" si="11"/>
        <v>0.32916506388442507</v>
      </c>
    </row>
    <row r="7" spans="3:20" x14ac:dyDescent="0.3">
      <c r="C7">
        <v>34</v>
      </c>
      <c r="D7">
        <v>508</v>
      </c>
      <c r="E7">
        <v>134.05982971191409</v>
      </c>
      <c r="F7">
        <v>1.0123000144958501</v>
      </c>
      <c r="G7">
        <v>8.3064064930640686</v>
      </c>
      <c r="H7" t="str">
        <f t="shared" si="0"/>
        <v>5.08+1.34059829711914i</v>
      </c>
      <c r="I7" t="str">
        <f t="shared" si="1"/>
        <v>1.00168062471931+0.146243787595336i</v>
      </c>
      <c r="J7" t="str">
        <f t="shared" si="2"/>
        <v>5.08+1.3406i</v>
      </c>
      <c r="K7" t="str">
        <f t="shared" si="3"/>
        <v>1.0017+0.1462i</v>
      </c>
      <c r="L7" t="str">
        <f t="shared" si="4"/>
        <v>5.15685853433155+0.585671640491891i</v>
      </c>
      <c r="M7" t="str">
        <f t="shared" si="5"/>
        <v>5.15685853433155-0.585671640491891i</v>
      </c>
      <c r="N7" t="str">
        <f t="shared" si="6"/>
        <v>5.1569-0.5857i</v>
      </c>
      <c r="O7">
        <v>0.13200000000000001</v>
      </c>
      <c r="P7" t="str">
        <f t="shared" si="7"/>
        <v>0.132i</v>
      </c>
      <c r="Q7" t="str">
        <f t="shared" si="8"/>
        <v>1.0790124+0.8269108i</v>
      </c>
      <c r="R7" t="str">
        <f t="shared" si="9"/>
        <v>1.079+0.8269i</v>
      </c>
      <c r="S7" s="1">
        <f t="shared" si="10"/>
        <v>1.3594133330227418</v>
      </c>
      <c r="T7" s="1">
        <f t="shared" si="11"/>
        <v>0.65388812910695271</v>
      </c>
    </row>
    <row r="8" spans="3:20" x14ac:dyDescent="0.3">
      <c r="C8">
        <v>35</v>
      </c>
      <c r="D8">
        <v>650</v>
      </c>
      <c r="E8">
        <v>188.60234069824219</v>
      </c>
      <c r="F8">
        <v>1.049299955368042</v>
      </c>
      <c r="G8">
        <v>3.6175793849328119</v>
      </c>
      <c r="H8" t="str">
        <f t="shared" si="0"/>
        <v>6.5+1.88602340698242i</v>
      </c>
      <c r="I8" t="str">
        <f t="shared" si="1"/>
        <v>1.04720913725662+0.0662073952184925i</v>
      </c>
      <c r="J8" t="str">
        <f t="shared" si="2"/>
        <v>6.5+1.886i</v>
      </c>
      <c r="K8" t="str">
        <f t="shared" si="3"/>
        <v>1.0472+0.0662i</v>
      </c>
      <c r="L8" t="str">
        <f t="shared" si="4"/>
        <v>6.29572069027366+1.40300161411754i</v>
      </c>
      <c r="M8" t="str">
        <f t="shared" si="5"/>
        <v>6.29572069027366-1.40300161411754i</v>
      </c>
      <c r="N8" t="str">
        <f t="shared" si="6"/>
        <v>6.2957-1.403i</v>
      </c>
      <c r="O8">
        <v>0.05</v>
      </c>
      <c r="P8" t="str">
        <f t="shared" si="7"/>
        <v>0.05i</v>
      </c>
      <c r="Q8" t="str">
        <f t="shared" si="8"/>
        <v>1.11735+0.380985i</v>
      </c>
      <c r="R8" t="str">
        <f t="shared" si="9"/>
        <v>1.1174+0.381i</v>
      </c>
      <c r="S8" s="1">
        <f t="shared" si="10"/>
        <v>1.1805692525218501</v>
      </c>
      <c r="T8" s="1">
        <f t="shared" si="11"/>
        <v>0.32860783467678878</v>
      </c>
    </row>
    <row r="9" spans="3:20" x14ac:dyDescent="0.3">
      <c r="C9">
        <v>36</v>
      </c>
      <c r="D9">
        <v>560</v>
      </c>
      <c r="E9">
        <v>76.941902160644531</v>
      </c>
      <c r="F9">
        <v>1.0635000467300419</v>
      </c>
      <c r="G9">
        <v>5.5890033520566256</v>
      </c>
      <c r="H9" t="str">
        <f t="shared" si="0"/>
        <v>5.6+0.769419021606445i</v>
      </c>
      <c r="I9" t="str">
        <f t="shared" si="1"/>
        <v>1.05844428503985+0.103576275571559i</v>
      </c>
      <c r="J9" t="str">
        <f t="shared" si="2"/>
        <v>5.6+0.7694i</v>
      </c>
      <c r="K9" t="str">
        <f t="shared" si="3"/>
        <v>1.0584+0.1036i</v>
      </c>
      <c r="L9" t="str">
        <f t="shared" si="4"/>
        <v>5.3112730510185+0.207059818513307i</v>
      </c>
      <c r="M9" t="str">
        <f t="shared" si="5"/>
        <v>5.3112730510185-0.207059818513307i</v>
      </c>
      <c r="N9" t="str">
        <f t="shared" si="6"/>
        <v>5.3113-0.2071i</v>
      </c>
      <c r="O9">
        <v>4.9000000000000002E-2</v>
      </c>
      <c r="P9" t="str">
        <f t="shared" si="7"/>
        <v>0.049i</v>
      </c>
      <c r="Q9" t="str">
        <f t="shared" si="8"/>
        <v>1.0685479+0.3638537i</v>
      </c>
      <c r="R9" t="str">
        <f t="shared" si="9"/>
        <v>1.0685+0.3639i</v>
      </c>
      <c r="S9" s="1">
        <f t="shared" si="10"/>
        <v>1.1287672302117917</v>
      </c>
      <c r="T9" s="1">
        <f t="shared" si="11"/>
        <v>0.32825015469527186</v>
      </c>
    </row>
    <row r="10" spans="3:20" x14ac:dyDescent="0.3">
      <c r="C10">
        <v>37</v>
      </c>
      <c r="D10">
        <v>540</v>
      </c>
      <c r="E10">
        <v>2.7760486602783199</v>
      </c>
      <c r="F10">
        <v>1.0277999639511111</v>
      </c>
      <c r="G10">
        <v>2.4563915173002262</v>
      </c>
      <c r="H10" t="str">
        <f t="shared" si="0"/>
        <v>5.4+0.0277604866027832i</v>
      </c>
      <c r="I10" t="str">
        <f t="shared" si="1"/>
        <v>1.02685555086884+0.0440504659198028i</v>
      </c>
      <c r="J10" t="str">
        <f t="shared" si="2"/>
        <v>5.4+0.0278i</v>
      </c>
      <c r="K10" t="str">
        <f t="shared" si="3"/>
        <v>1.0269+0.0441i</v>
      </c>
      <c r="L10" t="str">
        <f t="shared" si="4"/>
        <v>5.25002534387161-0.198389441683453i</v>
      </c>
      <c r="M10" t="str">
        <f t="shared" si="5"/>
        <v>5.25002534387161+0.198389441683453i</v>
      </c>
      <c r="N10" t="str">
        <f t="shared" si="6"/>
        <v>5.25+0.1984i</v>
      </c>
      <c r="O10">
        <v>5.7000000000000002E-2</v>
      </c>
      <c r="P10" t="str">
        <f t="shared" si="7"/>
        <v>0.057i</v>
      </c>
      <c r="Q10" t="str">
        <f t="shared" si="8"/>
        <v>1.0155912+0.34335i</v>
      </c>
      <c r="R10" t="str">
        <f t="shared" si="9"/>
        <v>1.0156+0.3434i</v>
      </c>
      <c r="S10" s="1">
        <f t="shared" si="10"/>
        <v>1.0720853137693847</v>
      </c>
      <c r="T10" s="1">
        <f t="shared" si="11"/>
        <v>0.3260570583618369</v>
      </c>
    </row>
    <row r="11" spans="3:20" x14ac:dyDescent="0.3">
      <c r="C11">
        <v>38</v>
      </c>
      <c r="D11">
        <v>830</v>
      </c>
      <c r="E11">
        <v>25.355117797851559</v>
      </c>
      <c r="F11">
        <v>1.02649998664856</v>
      </c>
      <c r="G11">
        <v>7.8533890737210958</v>
      </c>
      <c r="H11" t="str">
        <f t="shared" si="0"/>
        <v>8.3+0.253551177978516i</v>
      </c>
      <c r="I11" t="str">
        <f t="shared" si="1"/>
        <v>1.01687239045445+0.140259631116541i</v>
      </c>
      <c r="J11" t="str">
        <f t="shared" si="2"/>
        <v>8.3+0.2536i</v>
      </c>
      <c r="K11" t="str">
        <f t="shared" si="3"/>
        <v>1.0169+0.1403i</v>
      </c>
      <c r="L11" t="str">
        <f t="shared" si="4"/>
        <v>8.04336097346508-0.860343735448078i</v>
      </c>
      <c r="M11" t="str">
        <f t="shared" si="5"/>
        <v>8.04336097346508+0.860343735448078i</v>
      </c>
      <c r="N11" t="str">
        <f t="shared" si="6"/>
        <v>8.0434+0.8603i</v>
      </c>
      <c r="O11">
        <v>5.7000000000000002E-2</v>
      </c>
      <c r="P11" t="str">
        <f t="shared" si="7"/>
        <v>0.057i</v>
      </c>
      <c r="Q11" t="str">
        <f t="shared" si="8"/>
        <v>0.9678629+0.5987738i</v>
      </c>
      <c r="R11" t="str">
        <f t="shared" si="9"/>
        <v>0.9679+0.5988i</v>
      </c>
      <c r="S11" s="1">
        <f t="shared" si="10"/>
        <v>1.1381528236577019</v>
      </c>
      <c r="T11" s="1">
        <f t="shared" si="11"/>
        <v>0.55402646043202841</v>
      </c>
    </row>
    <row r="12" spans="3:20" x14ac:dyDescent="0.3">
      <c r="C12">
        <v>39</v>
      </c>
      <c r="D12">
        <v>10.18332481384277</v>
      </c>
      <c r="E12">
        <v>-27.963871002197269</v>
      </c>
      <c r="F12">
        <v>1.029999971389771</v>
      </c>
      <c r="G12">
        <v>-10.03392611247402</v>
      </c>
      <c r="H12" t="str">
        <f t="shared" si="0"/>
        <v>0.101833248138428-0.279638710021973i</v>
      </c>
      <c r="I12" t="str">
        <f t="shared" si="1"/>
        <v>1.01424587401698-0.179458207119241i</v>
      </c>
      <c r="J12" t="str">
        <f t="shared" si="2"/>
        <v>0.1018-0.2796i</v>
      </c>
      <c r="K12" t="str">
        <f t="shared" si="3"/>
        <v>1.0142-0.1795i</v>
      </c>
      <c r="L12" t="str">
        <f t="shared" si="4"/>
        <v>0.144636683543549-0.250086487185893i</v>
      </c>
      <c r="M12" t="str">
        <f t="shared" si="5"/>
        <v>0.144636683543549+0.250086487185893i</v>
      </c>
      <c r="N12" t="str">
        <f t="shared" si="6"/>
        <v>0.1446+0.2501i</v>
      </c>
      <c r="O12">
        <v>3.1E-2</v>
      </c>
      <c r="P12" t="str">
        <f t="shared" si="7"/>
        <v>0.031i</v>
      </c>
      <c r="Q12" t="str">
        <f t="shared" si="8"/>
        <v>1.0064469-0.1750174i</v>
      </c>
      <c r="R12" t="str">
        <f t="shared" si="9"/>
        <v>1.0064-0.175i</v>
      </c>
      <c r="S12" s="1">
        <f t="shared" si="10"/>
        <v>1.021501815955312</v>
      </c>
      <c r="T12" s="1">
        <f t="shared" si="11"/>
        <v>-0.17216565433642347</v>
      </c>
    </row>
    <row r="13" spans="3:20" x14ac:dyDescent="0.3">
      <c r="C13">
        <v>1</v>
      </c>
      <c r="D13">
        <v>71.599999999999994</v>
      </c>
      <c r="E13">
        <v>27</v>
      </c>
      <c r="F13">
        <v>1.04</v>
      </c>
      <c r="G13">
        <v>0</v>
      </c>
      <c r="H13" t="str">
        <f t="shared" si="0"/>
        <v>0.716+0.27i</v>
      </c>
      <c r="I13" t="str">
        <f t="shared" si="1"/>
        <v>1.04</v>
      </c>
      <c r="J13" t="str">
        <f t="shared" si="2"/>
        <v>0.716+0.27i</v>
      </c>
      <c r="K13" t="str">
        <f t="shared" si="3"/>
        <v>1.04</v>
      </c>
      <c r="L13" t="str">
        <f t="shared" si="4"/>
        <v>0.688461538461538+0.259615384615385i</v>
      </c>
      <c r="M13" t="str">
        <f t="shared" si="5"/>
        <v>0.688461538461538-0.259615384615385i</v>
      </c>
      <c r="N13" t="str">
        <f t="shared" si="6"/>
        <v>0.6885-0.2596i</v>
      </c>
      <c r="O13">
        <v>6.8000000000000005E-2</v>
      </c>
      <c r="P13" t="str">
        <f t="shared" si="7"/>
        <v>0.068i</v>
      </c>
      <c r="Q13" t="str">
        <f t="shared" si="8"/>
        <v>1.0576528+0.046818i</v>
      </c>
      <c r="R13" t="str">
        <f t="shared" si="9"/>
        <v>1.0577+0.0468i</v>
      </c>
      <c r="S13" s="1">
        <f t="shared" si="10"/>
        <v>1.0587348723830721</v>
      </c>
      <c r="T13" s="1">
        <f t="shared" si="11"/>
        <v>4.4218109351174241E-2</v>
      </c>
    </row>
    <row r="14" spans="3:20" x14ac:dyDescent="0.3">
      <c r="C14">
        <v>2</v>
      </c>
      <c r="D14">
        <v>163</v>
      </c>
      <c r="E14">
        <v>6.7</v>
      </c>
      <c r="F14">
        <v>1.0249999999999999</v>
      </c>
      <c r="G14">
        <v>9.3000000000000007</v>
      </c>
      <c r="H14" t="str">
        <f t="shared" si="0"/>
        <v>1.63+0.067i</v>
      </c>
      <c r="I14" t="str">
        <f t="shared" si="1"/>
        <v>1.01152710931698+0.165643916630945i</v>
      </c>
      <c r="J14" t="str">
        <f t="shared" si="2"/>
        <v>1.63+0.067i</v>
      </c>
      <c r="K14" t="str">
        <f t="shared" si="3"/>
        <v>1.0115+0.1656i</v>
      </c>
      <c r="L14" t="str">
        <f t="shared" si="4"/>
        <v>1.57996414868509-0.19242912804968i</v>
      </c>
      <c r="M14" t="str">
        <f t="shared" si="5"/>
        <v>1.57996414868509+0.19242912804968i</v>
      </c>
      <c r="N14" t="str">
        <f t="shared" si="6"/>
        <v>1.58+0.1924i</v>
      </c>
      <c r="O14">
        <v>0.1198</v>
      </c>
      <c r="P14" t="str">
        <f t="shared" si="7"/>
        <v>0.1198i</v>
      </c>
      <c r="Q14" t="str">
        <f t="shared" si="8"/>
        <v>0.98845048+0.354884i</v>
      </c>
      <c r="R14" t="str">
        <f t="shared" si="9"/>
        <v>0.9885+0.3549i</v>
      </c>
      <c r="S14" s="1">
        <f t="shared" si="10"/>
        <v>1.0502791343257276</v>
      </c>
      <c r="T14" s="1">
        <f t="shared" si="11"/>
        <v>0.34469556918358252</v>
      </c>
    </row>
    <row r="15" spans="3:20" x14ac:dyDescent="0.3">
      <c r="C15">
        <v>3</v>
      </c>
      <c r="D15">
        <v>85</v>
      </c>
      <c r="E15">
        <v>-10.9</v>
      </c>
      <c r="F15">
        <v>1.0249999999999999</v>
      </c>
      <c r="G15">
        <v>4.7</v>
      </c>
      <c r="H15" t="str">
        <f t="shared" si="0"/>
        <v>0.85-0.109i</v>
      </c>
      <c r="I15" t="str">
        <f t="shared" si="1"/>
        <v>1.02155332148849+0.0839869713457919i</v>
      </c>
      <c r="J15" t="str">
        <f t="shared" si="2"/>
        <v>0.85-0.109i</v>
      </c>
      <c r="K15" t="str">
        <f t="shared" si="3"/>
        <v>1.0216+0.084i</v>
      </c>
      <c r="L15" t="str">
        <f t="shared" si="4"/>
        <v>0.817726803162959-0.173932117722874i</v>
      </c>
      <c r="M15" t="str">
        <f t="shared" si="5"/>
        <v>0.817726803162959+0.173932117722874i</v>
      </c>
      <c r="N15" t="str">
        <f t="shared" si="6"/>
        <v>0.8177+0.1739i</v>
      </c>
      <c r="O15">
        <v>0.18129999999999999</v>
      </c>
      <c r="P15" t="str">
        <f t="shared" si="7"/>
        <v>0.1813i</v>
      </c>
      <c r="Q15" t="str">
        <f t="shared" si="8"/>
        <v>0.99007193+0.23224901i</v>
      </c>
      <c r="R15" t="str">
        <f t="shared" si="9"/>
        <v>0.9901+0.2322i</v>
      </c>
      <c r="S15" s="1">
        <f t="shared" si="10"/>
        <v>1.016963544086021</v>
      </c>
      <c r="T15" s="1">
        <f t="shared" si="11"/>
        <v>0.23035870595165611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2025-12-20T02:53:42Z</dcterms:created>
  <dcterms:modified xsi:type="dcterms:W3CDTF">2026-01-11T11:40:54Z</dcterms:modified>
</cp:coreProperties>
</file>