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Complete TEF Framework\Calculations\All Bus\"/>
    </mc:Choice>
  </mc:AlternateContent>
  <xr:revisionPtr revIDLastSave="0" documentId="13_ncr:1_{9367CB94-45DE-4B20-9D50-D48F83754BF1}" xr6:coauthVersionLast="36" xr6:coauthVersionMax="36" xr10:uidLastSave="{00000000-0000-0000-0000-000000000000}"/>
  <bookViews>
    <workbookView xWindow="0" yWindow="0" windowWidth="23040" windowHeight="9360" xr2:uid="{00000000-000D-0000-FFFF-FFFF00000000}"/>
  </bookViews>
  <sheets>
    <sheet name="Load Data" sheetId="1" r:id="rId1"/>
  </sheets>
  <calcPr calcId="162913"/>
</workbook>
</file>

<file path=xl/calcChain.xml><?xml version="1.0" encoding="utf-8"?>
<calcChain xmlns="http://schemas.openxmlformats.org/spreadsheetml/2006/main">
  <c r="D36" i="1" l="1"/>
  <c r="F36" i="1" s="1"/>
  <c r="G36" i="1" s="1"/>
  <c r="H36" i="1" s="1"/>
  <c r="D37" i="1"/>
  <c r="F37" i="1" s="1"/>
  <c r="G37" i="1" s="1"/>
  <c r="H37" i="1" s="1"/>
  <c r="D38" i="1"/>
  <c r="F38" i="1" s="1"/>
  <c r="G38" i="1" s="1"/>
  <c r="H38" i="1" s="1"/>
  <c r="D39" i="1"/>
  <c r="F39" i="1" s="1"/>
  <c r="G39" i="1" s="1"/>
  <c r="H39" i="1" s="1"/>
  <c r="D40" i="1"/>
  <c r="F40" i="1" s="1"/>
  <c r="G40" i="1" s="1"/>
  <c r="H40" i="1" s="1"/>
  <c r="D41" i="1"/>
  <c r="F41" i="1" s="1"/>
  <c r="G41" i="1" s="1"/>
  <c r="H41" i="1" s="1"/>
  <c r="D42" i="1"/>
  <c r="F42" i="1" s="1"/>
  <c r="G42" i="1" s="1"/>
  <c r="H42" i="1" s="1"/>
  <c r="D43" i="1"/>
  <c r="F43" i="1" s="1"/>
  <c r="G43" i="1" s="1"/>
  <c r="H43" i="1" s="1"/>
  <c r="D44" i="1"/>
  <c r="F44" i="1" s="1"/>
  <c r="G44" i="1" s="1"/>
  <c r="H44" i="1" s="1"/>
  <c r="D45" i="1"/>
  <c r="F45" i="1" s="1"/>
  <c r="G45" i="1" s="1"/>
  <c r="H45" i="1" s="1"/>
  <c r="D46" i="1"/>
  <c r="F46" i="1" s="1"/>
  <c r="G46" i="1" s="1"/>
  <c r="H46" i="1" s="1"/>
  <c r="D47" i="1"/>
  <c r="F47" i="1" s="1"/>
  <c r="G47" i="1" s="1"/>
  <c r="H47" i="1" s="1"/>
  <c r="D48" i="1"/>
  <c r="F48" i="1" s="1"/>
  <c r="G48" i="1" s="1"/>
  <c r="H48" i="1" s="1"/>
  <c r="D49" i="1"/>
  <c r="F49" i="1" s="1"/>
  <c r="G49" i="1" s="1"/>
  <c r="H49" i="1" s="1"/>
  <c r="D2" i="1" l="1"/>
  <c r="F2" i="1" s="1"/>
  <c r="G2" i="1" s="1"/>
  <c r="H2" i="1" s="1"/>
  <c r="D35" i="1"/>
  <c r="F35" i="1" s="1"/>
  <c r="G35" i="1" s="1"/>
  <c r="H35" i="1" s="1"/>
  <c r="D34" i="1"/>
  <c r="F34" i="1" s="1"/>
  <c r="G34" i="1" s="1"/>
  <c r="H34" i="1" s="1"/>
  <c r="D33" i="1"/>
  <c r="F33" i="1" s="1"/>
  <c r="G33" i="1" s="1"/>
  <c r="H33" i="1" s="1"/>
  <c r="D3" i="1"/>
  <c r="F3" i="1" s="1"/>
  <c r="G3" i="1" s="1"/>
  <c r="H3" i="1" s="1"/>
  <c r="D4" i="1"/>
  <c r="F4" i="1" s="1"/>
  <c r="G4" i="1" s="1"/>
  <c r="H4" i="1" s="1"/>
  <c r="D5" i="1"/>
  <c r="F5" i="1" s="1"/>
  <c r="G5" i="1" s="1"/>
  <c r="H5" i="1" s="1"/>
  <c r="D6" i="1"/>
  <c r="F6" i="1" s="1"/>
  <c r="G6" i="1" s="1"/>
  <c r="H6" i="1" s="1"/>
  <c r="D7" i="1"/>
  <c r="F7" i="1" s="1"/>
  <c r="G7" i="1" s="1"/>
  <c r="H7" i="1" s="1"/>
  <c r="D8" i="1"/>
  <c r="F8" i="1" s="1"/>
  <c r="G8" i="1" s="1"/>
  <c r="H8" i="1" s="1"/>
  <c r="D9" i="1"/>
  <c r="F9" i="1" s="1"/>
  <c r="G9" i="1" s="1"/>
  <c r="H9" i="1" s="1"/>
  <c r="D10" i="1"/>
  <c r="F10" i="1" s="1"/>
  <c r="G10" i="1" s="1"/>
  <c r="H10" i="1" s="1"/>
  <c r="D11" i="1"/>
  <c r="F11" i="1" s="1"/>
  <c r="G11" i="1" s="1"/>
  <c r="H11" i="1" s="1"/>
  <c r="D12" i="1"/>
  <c r="F12" i="1" s="1"/>
  <c r="G12" i="1" s="1"/>
  <c r="H12" i="1" s="1"/>
  <c r="D13" i="1"/>
  <c r="F13" i="1" s="1"/>
  <c r="G13" i="1" s="1"/>
  <c r="H13" i="1" s="1"/>
  <c r="D14" i="1"/>
  <c r="F14" i="1" s="1"/>
  <c r="G14" i="1" s="1"/>
  <c r="H14" i="1" s="1"/>
  <c r="D15" i="1"/>
  <c r="F15" i="1" s="1"/>
  <c r="G15" i="1" s="1"/>
  <c r="H15" i="1" s="1"/>
  <c r="D16" i="1"/>
  <c r="F16" i="1" s="1"/>
  <c r="G16" i="1" s="1"/>
  <c r="H16" i="1" s="1"/>
  <c r="D17" i="1"/>
  <c r="F17" i="1" s="1"/>
  <c r="G17" i="1" s="1"/>
  <c r="H17" i="1" s="1"/>
  <c r="D18" i="1"/>
  <c r="F18" i="1" s="1"/>
  <c r="G18" i="1" s="1"/>
  <c r="H18" i="1" s="1"/>
  <c r="D19" i="1"/>
  <c r="F19" i="1" s="1"/>
  <c r="G19" i="1" s="1"/>
  <c r="H19" i="1" s="1"/>
  <c r="D20" i="1"/>
  <c r="F20" i="1" s="1"/>
  <c r="G20" i="1" s="1"/>
  <c r="H20" i="1" s="1"/>
  <c r="D21" i="1"/>
  <c r="F21" i="1" s="1"/>
  <c r="G21" i="1" s="1"/>
  <c r="H21" i="1" s="1"/>
  <c r="D22" i="1"/>
  <c r="F22" i="1" s="1"/>
  <c r="G22" i="1" s="1"/>
  <c r="H22" i="1" s="1"/>
  <c r="D23" i="1"/>
  <c r="F23" i="1" s="1"/>
  <c r="G23" i="1" s="1"/>
  <c r="H23" i="1" s="1"/>
  <c r="D24" i="1"/>
  <c r="F24" i="1" s="1"/>
  <c r="G24" i="1" s="1"/>
  <c r="H24" i="1" s="1"/>
  <c r="D25" i="1"/>
  <c r="F25" i="1" s="1"/>
  <c r="G25" i="1" s="1"/>
  <c r="H25" i="1" s="1"/>
  <c r="D26" i="1"/>
  <c r="F26" i="1" s="1"/>
  <c r="G26" i="1" s="1"/>
  <c r="H26" i="1" s="1"/>
  <c r="D27" i="1"/>
  <c r="F27" i="1" s="1"/>
  <c r="G27" i="1" s="1"/>
  <c r="H27" i="1" s="1"/>
  <c r="D28" i="1"/>
  <c r="F28" i="1" s="1"/>
  <c r="G28" i="1" s="1"/>
  <c r="H28" i="1" s="1"/>
  <c r="D29" i="1"/>
  <c r="F29" i="1" s="1"/>
  <c r="G29" i="1" s="1"/>
  <c r="H29" i="1" s="1"/>
  <c r="D30" i="1"/>
  <c r="F30" i="1" s="1"/>
  <c r="G30" i="1" s="1"/>
  <c r="H30" i="1" s="1"/>
  <c r="D31" i="1"/>
  <c r="F31" i="1" s="1"/>
  <c r="G31" i="1" s="1"/>
  <c r="H31" i="1" s="1"/>
  <c r="D32" i="1"/>
  <c r="F32" i="1" s="1"/>
  <c r="G32" i="1" s="1"/>
  <c r="H32" i="1" s="1"/>
</calcChain>
</file>

<file path=xl/sharedStrings.xml><?xml version="1.0" encoding="utf-8"?>
<sst xmlns="http://schemas.openxmlformats.org/spreadsheetml/2006/main" count="41" uniqueCount="41">
  <si>
    <t>Bus</t>
  </si>
  <si>
    <t>P (pu)</t>
  </si>
  <si>
    <t>Q (pu)</t>
  </si>
  <si>
    <t>SL</t>
  </si>
  <si>
    <t>Voltage V</t>
  </si>
  <si>
    <t>Conjugate SL</t>
  </si>
  <si>
    <t>Yli</t>
  </si>
  <si>
    <t>ROUND YLI</t>
  </si>
  <si>
    <t>3.034-0.0226j</t>
  </si>
  <si>
    <t>4.9612-1.8257j</t>
  </si>
  <si>
    <t>2.3521-0.8451j</t>
  </si>
  <si>
    <t>5.262-1.7742j</t>
  </si>
  <si>
    <t>0.075-0.8796j</t>
  </si>
  <si>
    <t>3.1037-1.4839j</t>
  </si>
  <si>
    <t>3.0903-0.3034j</t>
  </si>
  <si>
    <t>1.4867-0.2823j</t>
  </si>
  <si>
    <t>6.392-1.0484j</t>
  </si>
  <si>
    <t>2.5737-1.0802j</t>
  </si>
  <si>
    <t>2.2673-0.775j</t>
  </si>
  <si>
    <t>2.8681+0.855j</t>
  </si>
  <si>
    <t>2.0027-0.422j</t>
  </si>
  <si>
    <t>1.2557-0.1536j</t>
  </si>
  <si>
    <t>2.6095-0.7011j</t>
  </si>
  <si>
    <t>1.8681-0.2503j</t>
  </si>
  <si>
    <t>2.5719-0.244j</t>
  </si>
  <si>
    <t>0.0838-0.0419j</t>
  </si>
  <si>
    <t>10.4063-2.3565j</t>
  </si>
  <si>
    <t>39 Bus data</t>
  </si>
  <si>
    <t>9 bus Data</t>
  </si>
  <si>
    <t>14 bus data</t>
  </si>
  <si>
    <t>0.215-0.1258j,</t>
  </si>
  <si>
    <t>0.9917-0.2j,</t>
  </si>
  <si>
    <t>0.5144,</t>
  </si>
  <si>
    <t>0.0802-0.0169j,</t>
  </si>
  <si>
    <t>0.1281-0.0858j,</t>
  </si>
  <si>
    <t>0.3505-0.1972j,</t>
  </si>
  <si>
    <t>0.1082-0.0697j,</t>
  </si>
  <si>
    <t>0.0414-0.0213j,</t>
  </si>
  <si>
    <t>0.0726-0.019j,</t>
  </si>
  <si>
    <t>0.163-0.07j,</t>
  </si>
  <si>
    <t>0.1901-0.0638j,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</si>
</sst>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textRotation="180" wrapText="1"/>
    </xf>
    <xf numFmtId="0" fontId="3" fillId="0" borderId="0" xfId="0" applyFont="1" applyAlignment="1">
      <alignment horizontal="center" vertical="center" textRotation="180"/>
    </xf>
    <xf numFmtId="0" fontId="2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F1" zoomScale="92" workbookViewId="0">
      <selection activeCell="A13" sqref="A13:XFD13"/>
    </sheetView>
  </sheetViews>
  <sheetFormatPr defaultRowHeight="14.4" x14ac:dyDescent="0.3"/>
  <cols>
    <col min="1" max="1" width="8.88671875" style="1"/>
    <col min="2" max="2" width="13.5546875" style="1" customWidth="1"/>
    <col min="3" max="3" width="22.6640625" style="1" customWidth="1"/>
    <col min="4" max="4" width="14.109375" style="1" customWidth="1"/>
    <col min="5" max="5" width="20.109375" style="1" customWidth="1"/>
    <col min="6" max="6" width="26.109375" style="1" customWidth="1"/>
    <col min="7" max="7" width="35" style="1" customWidth="1"/>
    <col min="8" max="8" width="41.33203125" style="1" customWidth="1"/>
    <col min="9" max="12" width="8.88671875" style="1"/>
    <col min="13" max="13" width="15.88671875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1">
        <v>1</v>
      </c>
      <c r="B2" s="1">
        <v>0</v>
      </c>
      <c r="C2" s="1">
        <v>0</v>
      </c>
      <c r="D2" s="1" t="str">
        <f>COMPLEX(B2,C2,"j")</f>
        <v>0</v>
      </c>
      <c r="E2" s="1">
        <v>1.046580434</v>
      </c>
      <c r="F2" s="1" t="str">
        <f>IMCONJUGATE(D2)</f>
        <v>0</v>
      </c>
      <c r="G2" s="1" t="str">
        <f>IMDIV(F2,E2*E2)</f>
        <v>0</v>
      </c>
      <c r="H2" s="1" t="str">
        <f>COMPLEX(ROUND(IMREAL(G2), 4), ROUND(IMAGINARY(G2), 4),"j")</f>
        <v>0</v>
      </c>
      <c r="I2" s="2" t="s">
        <v>27</v>
      </c>
    </row>
    <row r="3" spans="1:13" x14ac:dyDescent="0.3">
      <c r="A3" s="1">
        <v>2</v>
      </c>
      <c r="B3" s="1">
        <v>0</v>
      </c>
      <c r="C3" s="1">
        <v>0</v>
      </c>
      <c r="D3" s="1" t="str">
        <f t="shared" ref="D3:D49" si="0">COMPLEX(B3,C3,"j")</f>
        <v>0</v>
      </c>
      <c r="E3" s="1">
        <v>1.0467277770000001</v>
      </c>
      <c r="F3" s="1" t="str">
        <f t="shared" ref="F3:F49" si="1">IMCONJUGATE(D3)</f>
        <v>0</v>
      </c>
      <c r="G3" s="1" t="str">
        <f t="shared" ref="G3:G49" si="2">IMDIV(F3,E3*E3)</f>
        <v>0</v>
      </c>
      <c r="H3" s="1" t="str">
        <f t="shared" ref="H3:H49" si="3">COMPLEX(ROUND(IMREAL(G3), 4), ROUND(IMAGINARY(G3), 4),"j")</f>
        <v>0</v>
      </c>
      <c r="I3" s="2"/>
    </row>
    <row r="4" spans="1:13" x14ac:dyDescent="0.3">
      <c r="A4" s="1">
        <v>3</v>
      </c>
      <c r="B4" s="1">
        <v>3.22</v>
      </c>
      <c r="C4" s="1">
        <v>2.4E-2</v>
      </c>
      <c r="D4" s="1" t="str">
        <f t="shared" si="0"/>
        <v>3.22+0.024j</v>
      </c>
      <c r="E4" s="1">
        <v>1.025922894</v>
      </c>
      <c r="F4" s="1" t="str">
        <f t="shared" si="1"/>
        <v>3.22-0.024j</v>
      </c>
      <c r="G4" s="1" t="str">
        <f>IMDIV(F4,E4*E4)</f>
        <v>3.05933072830082-0.0228024650556583j</v>
      </c>
      <c r="H4" s="1" t="str">
        <f t="shared" si="3"/>
        <v>3.0593-0.0228j</v>
      </c>
      <c r="I4" s="2"/>
    </row>
    <row r="5" spans="1:13" x14ac:dyDescent="0.3">
      <c r="A5" s="1">
        <v>4</v>
      </c>
      <c r="B5" s="1">
        <v>5</v>
      </c>
      <c r="C5" s="1">
        <v>1.84</v>
      </c>
      <c r="D5" s="1" t="str">
        <f t="shared" si="0"/>
        <v>5+1.84j</v>
      </c>
      <c r="E5" s="1">
        <v>1.0000476840000001</v>
      </c>
      <c r="F5" s="1" t="str">
        <f t="shared" si="1"/>
        <v>5-1.84j</v>
      </c>
      <c r="G5" s="1" t="str">
        <f t="shared" si="2"/>
        <v>4.99952319410429-1.83982453543038j</v>
      </c>
      <c r="H5" s="1" t="str">
        <f t="shared" si="3"/>
        <v>4.9995-1.8398j</v>
      </c>
      <c r="I5" s="2"/>
    </row>
    <row r="6" spans="1:13" x14ac:dyDescent="0.3">
      <c r="A6" s="1">
        <v>5</v>
      </c>
      <c r="B6" s="1">
        <v>0</v>
      </c>
      <c r="C6" s="1">
        <v>0</v>
      </c>
      <c r="D6" s="1" t="str">
        <f t="shared" si="0"/>
        <v>0</v>
      </c>
      <c r="E6" s="1">
        <v>1.0026576519999999</v>
      </c>
      <c r="F6" s="1" t="str">
        <f t="shared" si="1"/>
        <v>0</v>
      </c>
      <c r="G6" s="1" t="str">
        <f t="shared" si="2"/>
        <v>0</v>
      </c>
      <c r="H6" s="1" t="str">
        <f t="shared" si="3"/>
        <v>0</v>
      </c>
      <c r="I6" s="2"/>
    </row>
    <row r="7" spans="1:13" x14ac:dyDescent="0.3">
      <c r="A7" s="1">
        <v>6</v>
      </c>
      <c r="B7" s="1">
        <v>0</v>
      </c>
      <c r="C7" s="1">
        <v>0</v>
      </c>
      <c r="D7" s="1" t="str">
        <f t="shared" si="0"/>
        <v>0</v>
      </c>
      <c r="E7" s="1">
        <v>1.0051976439999999</v>
      </c>
      <c r="F7" s="1" t="str">
        <f t="shared" si="1"/>
        <v>0</v>
      </c>
      <c r="G7" s="1" t="str">
        <f t="shared" si="2"/>
        <v>0</v>
      </c>
      <c r="H7" s="1" t="str">
        <f t="shared" si="3"/>
        <v>0</v>
      </c>
      <c r="I7" s="2"/>
    </row>
    <row r="8" spans="1:13" x14ac:dyDescent="0.3">
      <c r="A8" s="1">
        <v>7</v>
      </c>
      <c r="B8" s="1">
        <v>2.3380000000000001</v>
      </c>
      <c r="C8" s="1">
        <v>0.84</v>
      </c>
      <c r="D8" s="1" t="str">
        <f t="shared" si="0"/>
        <v>2.338+0.84j</v>
      </c>
      <c r="E8" s="1">
        <v>0.994574666</v>
      </c>
      <c r="F8" s="1" t="str">
        <f t="shared" si="1"/>
        <v>2.338-0.84j</v>
      </c>
      <c r="G8" s="1" t="str">
        <f t="shared" si="2"/>
        <v>2.36357681722764-0.849189275650648j</v>
      </c>
      <c r="H8" s="1" t="str">
        <f t="shared" si="3"/>
        <v>2.3636-0.8492j</v>
      </c>
      <c r="I8" s="2"/>
      <c r="L8" s="1">
        <v>1</v>
      </c>
      <c r="M8" s="1">
        <v>0</v>
      </c>
    </row>
    <row r="9" spans="1:13" x14ac:dyDescent="0.3">
      <c r="A9" s="1">
        <v>8</v>
      </c>
      <c r="B9" s="1">
        <v>5.22</v>
      </c>
      <c r="C9" s="1">
        <v>1.76</v>
      </c>
      <c r="D9" s="1" t="str">
        <f t="shared" si="0"/>
        <v>5.22+1.76j</v>
      </c>
      <c r="E9" s="1">
        <v>0.99363237599999998</v>
      </c>
      <c r="F9" s="1" t="str">
        <f t="shared" si="1"/>
        <v>5.22-1.76j</v>
      </c>
      <c r="G9" s="1" t="str">
        <f t="shared" si="2"/>
        <v>5.28711838902797-1.78262995492131j</v>
      </c>
      <c r="H9" s="1" t="str">
        <f t="shared" si="3"/>
        <v>5.2871-1.7826j</v>
      </c>
      <c r="I9" s="2"/>
      <c r="L9" s="1">
        <v>2</v>
      </c>
      <c r="M9" s="1">
        <v>0</v>
      </c>
    </row>
    <row r="10" spans="1:13" x14ac:dyDescent="0.3">
      <c r="A10" s="1">
        <v>9</v>
      </c>
      <c r="B10" s="1">
        <v>0</v>
      </c>
      <c r="C10" s="1">
        <v>0</v>
      </c>
      <c r="D10" s="1" t="str">
        <f t="shared" si="0"/>
        <v>0</v>
      </c>
      <c r="E10" s="1">
        <v>1.0272413490000001</v>
      </c>
      <c r="F10" s="1" t="str">
        <f t="shared" si="1"/>
        <v>0</v>
      </c>
      <c r="G10" s="1" t="str">
        <f t="shared" si="2"/>
        <v>0</v>
      </c>
      <c r="H10" s="1" t="str">
        <f t="shared" si="3"/>
        <v>0</v>
      </c>
      <c r="I10" s="2"/>
      <c r="L10" s="1">
        <v>3</v>
      </c>
      <c r="M10" s="1" t="s">
        <v>8</v>
      </c>
    </row>
    <row r="11" spans="1:13" x14ac:dyDescent="0.3">
      <c r="A11" s="1">
        <v>10</v>
      </c>
      <c r="B11" s="1">
        <v>0</v>
      </c>
      <c r="C11" s="1">
        <v>0</v>
      </c>
      <c r="D11" s="1" t="str">
        <f t="shared" si="0"/>
        <v>0</v>
      </c>
      <c r="E11" s="1">
        <v>1.014469147</v>
      </c>
      <c r="F11" s="1" t="str">
        <f t="shared" si="1"/>
        <v>0</v>
      </c>
      <c r="G11" s="1" t="str">
        <f t="shared" si="2"/>
        <v>0</v>
      </c>
      <c r="H11" s="1" t="str">
        <f t="shared" si="3"/>
        <v>0</v>
      </c>
      <c r="I11" s="2"/>
      <c r="L11" s="1">
        <v>4</v>
      </c>
      <c r="M11" s="1" t="s">
        <v>9</v>
      </c>
    </row>
    <row r="12" spans="1:13" x14ac:dyDescent="0.3">
      <c r="A12" s="1">
        <v>11</v>
      </c>
      <c r="B12" s="1">
        <v>0</v>
      </c>
      <c r="C12" s="1">
        <v>0</v>
      </c>
      <c r="D12" s="1" t="str">
        <f t="shared" si="0"/>
        <v>0</v>
      </c>
      <c r="E12" s="1">
        <v>1.0100572109999999</v>
      </c>
      <c r="F12" s="1" t="str">
        <f t="shared" si="1"/>
        <v>0</v>
      </c>
      <c r="G12" s="1" t="str">
        <f t="shared" si="2"/>
        <v>0</v>
      </c>
      <c r="H12" s="1" t="str">
        <f t="shared" si="3"/>
        <v>0</v>
      </c>
      <c r="I12" s="2"/>
      <c r="L12" s="1">
        <v>5</v>
      </c>
      <c r="M12" s="1">
        <v>0</v>
      </c>
    </row>
    <row r="13" spans="1:13" x14ac:dyDescent="0.3">
      <c r="A13" s="1">
        <v>12</v>
      </c>
      <c r="B13" s="1">
        <v>7.4999999999999997E-2</v>
      </c>
      <c r="C13" s="1">
        <v>0.88</v>
      </c>
      <c r="D13" s="1" t="str">
        <f t="shared" si="0"/>
        <v>0.075+0.88j</v>
      </c>
      <c r="E13" s="1">
        <v>0.99714428200000005</v>
      </c>
      <c r="F13" s="1" t="str">
        <f t="shared" si="1"/>
        <v>0.075-0.88j</v>
      </c>
      <c r="G13" s="1" t="str">
        <f t="shared" si="2"/>
        <v>0.0754301996148384-0.885047675480771j</v>
      </c>
      <c r="H13" s="1" t="str">
        <f t="shared" si="3"/>
        <v>0.0754-0.885j</v>
      </c>
      <c r="I13" s="2"/>
      <c r="L13" s="1">
        <v>6</v>
      </c>
      <c r="M13" s="1">
        <v>0</v>
      </c>
    </row>
    <row r="14" spans="1:13" x14ac:dyDescent="0.3">
      <c r="A14" s="1">
        <v>13</v>
      </c>
      <c r="B14" s="1">
        <v>0</v>
      </c>
      <c r="C14" s="1">
        <v>0</v>
      </c>
      <c r="D14" s="1" t="str">
        <f t="shared" si="0"/>
        <v>0</v>
      </c>
      <c r="E14" s="1">
        <v>1.0110818150000001</v>
      </c>
      <c r="F14" s="1" t="str">
        <f t="shared" si="1"/>
        <v>0</v>
      </c>
      <c r="G14" s="1" t="str">
        <f t="shared" si="2"/>
        <v>0</v>
      </c>
      <c r="H14" s="1" t="str">
        <f t="shared" si="3"/>
        <v>0</v>
      </c>
      <c r="I14" s="2"/>
      <c r="L14" s="1">
        <v>7</v>
      </c>
      <c r="M14" s="1" t="s">
        <v>10</v>
      </c>
    </row>
    <row r="15" spans="1:13" x14ac:dyDescent="0.3">
      <c r="A15" s="1">
        <v>14</v>
      </c>
      <c r="B15" s="1">
        <v>0</v>
      </c>
      <c r="C15" s="1">
        <v>0</v>
      </c>
      <c r="D15" s="1" t="str">
        <f t="shared" si="0"/>
        <v>0</v>
      </c>
      <c r="E15" s="1">
        <v>1.0071796180000001</v>
      </c>
      <c r="F15" s="1" t="str">
        <f t="shared" si="1"/>
        <v>0</v>
      </c>
      <c r="G15" s="1" t="str">
        <f t="shared" si="2"/>
        <v>0</v>
      </c>
      <c r="H15" s="1" t="str">
        <f t="shared" si="3"/>
        <v>0</v>
      </c>
      <c r="I15" s="2"/>
      <c r="L15" s="1">
        <v>8</v>
      </c>
      <c r="M15" s="1" t="s">
        <v>11</v>
      </c>
    </row>
    <row r="16" spans="1:13" x14ac:dyDescent="0.3">
      <c r="A16" s="1">
        <v>15</v>
      </c>
      <c r="B16" s="1">
        <v>3.2</v>
      </c>
      <c r="C16" s="1">
        <v>1.53</v>
      </c>
      <c r="D16" s="1" t="str">
        <f t="shared" si="0"/>
        <v>3.2+1.53j</v>
      </c>
      <c r="E16" s="1">
        <v>1.0067199469999999</v>
      </c>
      <c r="F16" s="1" t="str">
        <f t="shared" si="1"/>
        <v>3.2-1.53j</v>
      </c>
      <c r="G16" s="1" t="str">
        <f t="shared" si="2"/>
        <v>3.15742200111514-1.50964239428317j</v>
      </c>
      <c r="H16" s="1" t="str">
        <f t="shared" si="3"/>
        <v>3.1574-1.5096j</v>
      </c>
      <c r="I16" s="2"/>
      <c r="L16" s="1">
        <v>9</v>
      </c>
      <c r="M16" s="1">
        <v>0</v>
      </c>
    </row>
    <row r="17" spans="1:13" x14ac:dyDescent="0.3">
      <c r="A17" s="1">
        <v>16</v>
      </c>
      <c r="B17" s="1">
        <v>3.29</v>
      </c>
      <c r="C17" s="1">
        <v>0.32</v>
      </c>
      <c r="D17" s="1" t="str">
        <f t="shared" si="0"/>
        <v>3.29+0.32j</v>
      </c>
      <c r="E17" s="1">
        <v>1.021509767</v>
      </c>
      <c r="F17" s="1" t="str">
        <f t="shared" si="1"/>
        <v>3.29-0.32j</v>
      </c>
      <c r="G17" s="1" t="str">
        <f t="shared" si="2"/>
        <v>3.15290475213426-0.306665507806372j</v>
      </c>
      <c r="H17" s="1" t="str">
        <f t="shared" si="3"/>
        <v>3.1529-0.3067j</v>
      </c>
      <c r="I17" s="2"/>
      <c r="L17" s="1">
        <v>10</v>
      </c>
      <c r="M17" s="1">
        <v>0</v>
      </c>
    </row>
    <row r="18" spans="1:13" x14ac:dyDescent="0.3">
      <c r="A18" s="1">
        <v>17</v>
      </c>
      <c r="B18" s="1">
        <v>0</v>
      </c>
      <c r="C18" s="1">
        <v>0</v>
      </c>
      <c r="D18" s="1" t="str">
        <f t="shared" si="0"/>
        <v>0</v>
      </c>
      <c r="E18" s="1">
        <v>1.025782108</v>
      </c>
      <c r="F18" s="1" t="str">
        <f t="shared" si="1"/>
        <v>0</v>
      </c>
      <c r="G18" s="1" t="str">
        <f t="shared" si="2"/>
        <v>0</v>
      </c>
      <c r="H18" s="1" t="str">
        <f t="shared" si="3"/>
        <v>0</v>
      </c>
      <c r="I18" s="2"/>
      <c r="L18" s="1">
        <v>11</v>
      </c>
      <c r="M18" s="1">
        <v>0</v>
      </c>
    </row>
    <row r="19" spans="1:13" x14ac:dyDescent="0.3">
      <c r="A19" s="1">
        <v>18</v>
      </c>
      <c r="B19" s="1">
        <v>1.58</v>
      </c>
      <c r="C19" s="1">
        <v>0.3</v>
      </c>
      <c r="D19" s="1" t="str">
        <f t="shared" si="0"/>
        <v>1.58+0.3j</v>
      </c>
      <c r="E19" s="1">
        <v>1.0244793889999999</v>
      </c>
      <c r="F19" s="1" t="str">
        <f t="shared" si="1"/>
        <v>1.58-0.3j</v>
      </c>
      <c r="G19" s="1" t="str">
        <f t="shared" si="2"/>
        <v>1.50539557811149-0.28583460343889j</v>
      </c>
      <c r="H19" s="1" t="str">
        <f t="shared" si="3"/>
        <v>1.5054-0.2858j</v>
      </c>
      <c r="I19" s="2"/>
      <c r="L19" s="1">
        <v>12</v>
      </c>
      <c r="M19" s="1" t="s">
        <v>12</v>
      </c>
    </row>
    <row r="20" spans="1:13" x14ac:dyDescent="0.3">
      <c r="A20" s="1">
        <v>19</v>
      </c>
      <c r="B20" s="1">
        <v>0</v>
      </c>
      <c r="C20" s="1">
        <v>0</v>
      </c>
      <c r="D20" s="1" t="str">
        <f t="shared" si="0"/>
        <v>0</v>
      </c>
      <c r="E20" s="1">
        <v>1.046084762</v>
      </c>
      <c r="F20" s="1" t="str">
        <f t="shared" si="1"/>
        <v>0</v>
      </c>
      <c r="G20" s="1" t="str">
        <f t="shared" si="2"/>
        <v>0</v>
      </c>
      <c r="H20" s="1" t="str">
        <f t="shared" si="3"/>
        <v>0</v>
      </c>
      <c r="I20" s="2"/>
      <c r="L20" s="1">
        <v>13</v>
      </c>
      <c r="M20" s="1">
        <v>0</v>
      </c>
    </row>
    <row r="21" spans="1:13" x14ac:dyDescent="0.3">
      <c r="A21" s="1">
        <v>20</v>
      </c>
      <c r="B21" s="1">
        <v>6.28</v>
      </c>
      <c r="C21" s="1">
        <v>1.03</v>
      </c>
      <c r="D21" s="1" t="str">
        <f t="shared" si="0"/>
        <v>6.28+1.03j</v>
      </c>
      <c r="E21" s="1">
        <v>0.98911732399999996</v>
      </c>
      <c r="F21" s="1" t="str">
        <f t="shared" si="1"/>
        <v>6.28-1.03j</v>
      </c>
      <c r="G21" s="1" t="str">
        <f t="shared" si="2"/>
        <v>6.4189505039547-1.05278965271869j</v>
      </c>
      <c r="H21" s="1" t="str">
        <f t="shared" si="3"/>
        <v>6.419-1.0528j</v>
      </c>
      <c r="I21" s="2"/>
      <c r="L21" s="1">
        <v>14</v>
      </c>
      <c r="M21" s="1">
        <v>0</v>
      </c>
    </row>
    <row r="22" spans="1:13" x14ac:dyDescent="0.3">
      <c r="A22" s="1">
        <v>21</v>
      </c>
      <c r="B22" s="1">
        <v>2.74</v>
      </c>
      <c r="C22" s="1">
        <v>1.1499999999999999</v>
      </c>
      <c r="D22" s="1" t="str">
        <f t="shared" si="0"/>
        <v>2.74+1.15j</v>
      </c>
      <c r="E22" s="1">
        <v>1.018170714</v>
      </c>
      <c r="F22" s="1" t="str">
        <f t="shared" si="1"/>
        <v>2.74-1.15j</v>
      </c>
      <c r="G22" s="1" t="str">
        <f t="shared" si="2"/>
        <v>2.64307423148705-1.10931947671902j</v>
      </c>
      <c r="H22" s="1" t="str">
        <f t="shared" si="3"/>
        <v>2.6431-1.1093j</v>
      </c>
      <c r="I22" s="2"/>
      <c r="L22" s="1">
        <v>15</v>
      </c>
      <c r="M22" s="1" t="s">
        <v>13</v>
      </c>
    </row>
    <row r="23" spans="1:13" x14ac:dyDescent="0.3">
      <c r="A23" s="1">
        <v>22</v>
      </c>
      <c r="B23" s="1">
        <v>0</v>
      </c>
      <c r="C23" s="1">
        <v>0</v>
      </c>
      <c r="D23" s="1" t="str">
        <f t="shared" si="0"/>
        <v>0</v>
      </c>
      <c r="E23" s="1">
        <v>1.032853842</v>
      </c>
      <c r="F23" s="1" t="str">
        <f t="shared" si="1"/>
        <v>0</v>
      </c>
      <c r="G23" s="1" t="str">
        <f t="shared" si="2"/>
        <v>0</v>
      </c>
      <c r="H23" s="1" t="str">
        <f t="shared" si="3"/>
        <v>0</v>
      </c>
      <c r="I23" s="2"/>
      <c r="L23" s="1">
        <v>16</v>
      </c>
      <c r="M23" s="1" t="s">
        <v>14</v>
      </c>
    </row>
    <row r="24" spans="1:13" x14ac:dyDescent="0.3">
      <c r="A24" s="1">
        <v>23</v>
      </c>
      <c r="B24" s="1">
        <v>2.4750000000000001</v>
      </c>
      <c r="C24" s="1">
        <v>0.84599999999999997</v>
      </c>
      <c r="D24" s="1" t="str">
        <f t="shared" si="0"/>
        <v>2.475+0.846j</v>
      </c>
      <c r="E24" s="1">
        <v>1.0159605739999999</v>
      </c>
      <c r="F24" s="1" t="str">
        <f t="shared" si="1"/>
        <v>2.475-0.846j</v>
      </c>
      <c r="G24" s="1" t="str">
        <f t="shared" si="2"/>
        <v>2.39784713919422-0.819627749397296j</v>
      </c>
      <c r="H24" s="1" t="str">
        <f t="shared" si="3"/>
        <v>2.3978-0.8196j</v>
      </c>
      <c r="I24" s="2"/>
      <c r="L24" s="1">
        <v>17</v>
      </c>
      <c r="M24" s="1">
        <v>0</v>
      </c>
    </row>
    <row r="25" spans="1:13" x14ac:dyDescent="0.3">
      <c r="A25" s="1">
        <v>24</v>
      </c>
      <c r="B25" s="1">
        <v>3.0859999999999999</v>
      </c>
      <c r="C25" s="1">
        <v>-0.92</v>
      </c>
      <c r="D25" s="1" t="str">
        <f t="shared" si="0"/>
        <v>3.086-0.92j</v>
      </c>
      <c r="E25" s="1">
        <v>1.0256459710000001</v>
      </c>
      <c r="F25" s="1" t="str">
        <f t="shared" si="1"/>
        <v>3.086+0.92j</v>
      </c>
      <c r="G25" s="1" t="str">
        <f t="shared" si="2"/>
        <v>2.93360045990244+0.874566566140715j</v>
      </c>
      <c r="H25" s="1" t="str">
        <f t="shared" si="3"/>
        <v>2.9336+0.8746j</v>
      </c>
      <c r="I25" s="2"/>
      <c r="L25" s="1">
        <v>18</v>
      </c>
      <c r="M25" s="1" t="s">
        <v>15</v>
      </c>
    </row>
    <row r="26" spans="1:13" x14ac:dyDescent="0.3">
      <c r="A26" s="1">
        <v>25</v>
      </c>
      <c r="B26" s="1">
        <v>2.2400000000000002</v>
      </c>
      <c r="C26" s="1">
        <v>0.47199999999999998</v>
      </c>
      <c r="D26" s="1" t="str">
        <f t="shared" si="0"/>
        <v>2.24+0.472j</v>
      </c>
      <c r="E26" s="1">
        <v>1.0557298660000001</v>
      </c>
      <c r="F26" s="1" t="str">
        <f t="shared" si="1"/>
        <v>2.24-0.472j</v>
      </c>
      <c r="G26" s="1" t="str">
        <f t="shared" si="2"/>
        <v>2.00975169210244-0.423483392264444j</v>
      </c>
      <c r="H26" s="1" t="str">
        <f t="shared" si="3"/>
        <v>2.0098-0.4235j</v>
      </c>
      <c r="I26" s="2"/>
      <c r="L26" s="1">
        <v>19</v>
      </c>
      <c r="M26" s="1">
        <v>0</v>
      </c>
    </row>
    <row r="27" spans="1:13" x14ac:dyDescent="0.3">
      <c r="A27" s="1">
        <v>26</v>
      </c>
      <c r="B27" s="1">
        <v>1.39</v>
      </c>
      <c r="C27" s="1">
        <v>0.17</v>
      </c>
      <c r="D27" s="1" t="str">
        <f t="shared" si="0"/>
        <v>1.39+0.17j</v>
      </c>
      <c r="E27" s="1">
        <v>1.0483294729999999</v>
      </c>
      <c r="F27" s="1" t="str">
        <f t="shared" si="1"/>
        <v>1.39-0.17j</v>
      </c>
      <c r="G27" s="1" t="str">
        <f t="shared" si="2"/>
        <v>1.26479228724824-0.154686826497986j</v>
      </c>
      <c r="H27" s="1" t="str">
        <f t="shared" si="3"/>
        <v>1.2648-0.1547j</v>
      </c>
      <c r="I27" s="2"/>
      <c r="L27" s="1">
        <v>20</v>
      </c>
      <c r="M27" s="1" t="s">
        <v>16</v>
      </c>
    </row>
    <row r="28" spans="1:13" x14ac:dyDescent="0.3">
      <c r="A28" s="1">
        <v>27</v>
      </c>
      <c r="B28" s="1">
        <v>2.81</v>
      </c>
      <c r="C28" s="1">
        <v>0.755</v>
      </c>
      <c r="D28" s="1" t="str">
        <f t="shared" si="0"/>
        <v>2.81+0.755j</v>
      </c>
      <c r="E28" s="1">
        <v>1.0320897099999999</v>
      </c>
      <c r="F28" s="1" t="str">
        <f t="shared" si="1"/>
        <v>2.81-0.755j</v>
      </c>
      <c r="G28" s="1" t="str">
        <f t="shared" si="2"/>
        <v>2.63797954476016-0.708780980887517j</v>
      </c>
      <c r="H28" s="1" t="str">
        <f t="shared" si="3"/>
        <v>2.638-0.7088j</v>
      </c>
      <c r="I28" s="2"/>
      <c r="L28" s="1">
        <v>21</v>
      </c>
      <c r="M28" s="1" t="s">
        <v>17</v>
      </c>
    </row>
    <row r="29" spans="1:13" x14ac:dyDescent="0.3">
      <c r="A29" s="1">
        <v>28</v>
      </c>
      <c r="B29" s="1">
        <v>2.06</v>
      </c>
      <c r="C29" s="1">
        <v>0.27600000000000002</v>
      </c>
      <c r="D29" s="1" t="str">
        <f t="shared" si="0"/>
        <v>2.06+0.276j</v>
      </c>
      <c r="E29" s="1">
        <v>1.04818368</v>
      </c>
      <c r="F29" s="1" t="str">
        <f t="shared" si="1"/>
        <v>2.06-0.276j</v>
      </c>
      <c r="G29" s="1" t="str">
        <f t="shared" si="2"/>
        <v>1.87496184028569-0.251208479572257j</v>
      </c>
      <c r="H29" s="1" t="str">
        <f t="shared" si="3"/>
        <v>1.875-0.2512j</v>
      </c>
      <c r="I29" s="2"/>
      <c r="L29" s="1">
        <v>22</v>
      </c>
      <c r="M29" s="1">
        <v>0</v>
      </c>
    </row>
    <row r="30" spans="1:13" x14ac:dyDescent="0.3">
      <c r="A30" s="1">
        <v>29</v>
      </c>
      <c r="B30" s="1">
        <v>2.835</v>
      </c>
      <c r="C30" s="1">
        <v>0.26900000000000002</v>
      </c>
      <c r="D30" s="1" t="str">
        <f t="shared" si="0"/>
        <v>2.835+0.269j</v>
      </c>
      <c r="E30" s="1">
        <v>1.0486124750000001</v>
      </c>
      <c r="F30" s="1" t="str">
        <f t="shared" si="1"/>
        <v>2.835-0.269j</v>
      </c>
      <c r="G30" s="1" t="str">
        <f t="shared" si="2"/>
        <v>2.57823810698563-0.244637054948548j</v>
      </c>
      <c r="H30" s="1" t="str">
        <f t="shared" si="3"/>
        <v>2.5782-0.2446j</v>
      </c>
      <c r="I30" s="2"/>
      <c r="L30" s="1">
        <v>23</v>
      </c>
      <c r="M30" s="1" t="s">
        <v>18</v>
      </c>
    </row>
    <row r="31" spans="1:13" x14ac:dyDescent="0.3">
      <c r="A31" s="1">
        <v>31</v>
      </c>
      <c r="B31" s="1">
        <v>9.1999999999999998E-2</v>
      </c>
      <c r="C31" s="1">
        <v>4.5999999999999999E-2</v>
      </c>
      <c r="D31" s="1" t="str">
        <f t="shared" si="0"/>
        <v>0.092+0.046j</v>
      </c>
      <c r="E31" s="1">
        <v>0.98199999299999996</v>
      </c>
      <c r="F31" s="1" t="str">
        <f t="shared" si="1"/>
        <v>0.092-0.046j</v>
      </c>
      <c r="G31" s="1" t="str">
        <f t="shared" si="2"/>
        <v>0.0954036208904984-0.0477018104452492j</v>
      </c>
      <c r="H31" s="1" t="str">
        <f t="shared" si="3"/>
        <v>0.0954-0.0477j</v>
      </c>
      <c r="I31" s="2"/>
      <c r="L31" s="1">
        <v>24</v>
      </c>
      <c r="M31" s="1" t="s">
        <v>19</v>
      </c>
    </row>
    <row r="32" spans="1:13" x14ac:dyDescent="0.3">
      <c r="A32" s="1">
        <v>39</v>
      </c>
      <c r="B32" s="1">
        <v>11.04</v>
      </c>
      <c r="C32" s="1">
        <v>2.5</v>
      </c>
      <c r="D32" s="1" t="str">
        <f t="shared" si="0"/>
        <v>11.04+2.5j</v>
      </c>
      <c r="E32" s="1">
        <v>1.0299999710000001</v>
      </c>
      <c r="F32" s="1" t="str">
        <f t="shared" si="1"/>
        <v>11.04-2.5j</v>
      </c>
      <c r="G32" s="1" t="str">
        <f t="shared" si="2"/>
        <v>10.4062594228202-2.35648990552993j</v>
      </c>
      <c r="H32" s="1" t="str">
        <f t="shared" si="3"/>
        <v>10.4063-2.3565j</v>
      </c>
      <c r="I32" s="2"/>
      <c r="L32" s="1">
        <v>25</v>
      </c>
      <c r="M32" s="1" t="s">
        <v>20</v>
      </c>
    </row>
    <row r="33" spans="1:13" x14ac:dyDescent="0.3">
      <c r="A33" s="1">
        <v>5</v>
      </c>
      <c r="B33" s="1">
        <v>1.25</v>
      </c>
      <c r="C33" s="1">
        <v>0.5</v>
      </c>
      <c r="D33" s="1" t="str">
        <f t="shared" si="0"/>
        <v>1.25+0.5j</v>
      </c>
      <c r="E33" s="1">
        <v>0.99560000000000004</v>
      </c>
      <c r="F33" s="1" t="str">
        <f t="shared" si="1"/>
        <v>1.25-0.5j</v>
      </c>
      <c r="G33" s="1" t="str">
        <f t="shared" si="2"/>
        <v>1.26107302827499-0.504429211309997j</v>
      </c>
      <c r="H33" s="1" t="str">
        <f t="shared" si="3"/>
        <v>1.2611-0.5044j</v>
      </c>
      <c r="I33" s="3" t="s">
        <v>28</v>
      </c>
      <c r="L33" s="1">
        <v>26</v>
      </c>
      <c r="M33" s="1" t="s">
        <v>21</v>
      </c>
    </row>
    <row r="34" spans="1:13" x14ac:dyDescent="0.3">
      <c r="A34" s="1">
        <v>6</v>
      </c>
      <c r="B34" s="1">
        <v>0.9</v>
      </c>
      <c r="C34" s="1">
        <v>0.3</v>
      </c>
      <c r="D34" s="1" t="str">
        <f t="shared" si="0"/>
        <v>0.9+0.3j</v>
      </c>
      <c r="E34" s="1">
        <v>1.0129999999999999</v>
      </c>
      <c r="F34" s="1" t="str">
        <f t="shared" si="1"/>
        <v>0.9-0.3j</v>
      </c>
      <c r="G34" s="1" t="str">
        <f t="shared" si="2"/>
        <v>0.877048517349482-0.29234950578316j</v>
      </c>
      <c r="H34" s="1" t="str">
        <f t="shared" si="3"/>
        <v>0.877-0.2923j</v>
      </c>
      <c r="I34" s="3"/>
      <c r="L34" s="1">
        <v>27</v>
      </c>
      <c r="M34" s="1" t="s">
        <v>22</v>
      </c>
    </row>
    <row r="35" spans="1:13" x14ac:dyDescent="0.3">
      <c r="A35" s="1">
        <v>8</v>
      </c>
      <c r="B35" s="1">
        <v>1</v>
      </c>
      <c r="C35" s="1">
        <v>0.35</v>
      </c>
      <c r="D35" s="1" t="str">
        <f t="shared" si="0"/>
        <v>1+0.35j</v>
      </c>
      <c r="E35" s="1">
        <v>1.016</v>
      </c>
      <c r="F35" s="1" t="str">
        <f t="shared" si="1"/>
        <v>1-0.35j</v>
      </c>
      <c r="G35" s="1" t="str">
        <f t="shared" si="2"/>
        <v>0.968751937503875-0.339063178126356j</v>
      </c>
      <c r="H35" s="1" t="str">
        <f t="shared" si="3"/>
        <v>0.9688-0.3391j</v>
      </c>
      <c r="I35" s="3"/>
      <c r="L35" s="1">
        <v>28</v>
      </c>
      <c r="M35" s="1" t="s">
        <v>23</v>
      </c>
    </row>
    <row r="36" spans="1:13" x14ac:dyDescent="0.3">
      <c r="A36" s="1">
        <v>1</v>
      </c>
      <c r="B36" s="1">
        <v>0</v>
      </c>
      <c r="C36" s="1">
        <v>0</v>
      </c>
      <c r="D36" s="1" t="str">
        <f t="shared" si="0"/>
        <v>0</v>
      </c>
      <c r="E36">
        <v>1.059999942779541</v>
      </c>
      <c r="F36" s="1" t="str">
        <f t="shared" si="1"/>
        <v>0</v>
      </c>
      <c r="G36" s="1" t="str">
        <f t="shared" si="2"/>
        <v>0</v>
      </c>
      <c r="H36" s="1" t="str">
        <f t="shared" si="3"/>
        <v>0</v>
      </c>
      <c r="I36" s="4" t="s">
        <v>29</v>
      </c>
      <c r="L36" s="1">
        <v>29</v>
      </c>
      <c r="M36" s="1" t="s">
        <v>24</v>
      </c>
    </row>
    <row r="37" spans="1:13" x14ac:dyDescent="0.3">
      <c r="A37" s="1">
        <v>2</v>
      </c>
      <c r="B37" s="1">
        <v>0.217</v>
      </c>
      <c r="C37" s="1">
        <v>0.127</v>
      </c>
      <c r="D37" s="1" t="str">
        <f t="shared" si="0"/>
        <v>0.217+0.127j</v>
      </c>
      <c r="E37">
        <v>1.044999957084656</v>
      </c>
      <c r="F37" s="1" t="str">
        <f t="shared" si="1"/>
        <v>0.217-0.127j</v>
      </c>
      <c r="G37" s="1" t="str">
        <f t="shared" si="2"/>
        <v>0.198713415739764-0.116297713359217j</v>
      </c>
      <c r="H37" s="1" t="str">
        <f t="shared" si="3"/>
        <v>0.1987-0.1163j</v>
      </c>
      <c r="I37" s="4"/>
      <c r="L37" s="1">
        <v>31</v>
      </c>
      <c r="M37" s="1" t="s">
        <v>25</v>
      </c>
    </row>
    <row r="38" spans="1:13" x14ac:dyDescent="0.3">
      <c r="A38" s="1">
        <v>3</v>
      </c>
      <c r="B38" s="1">
        <v>0.94199999999999995</v>
      </c>
      <c r="C38" s="1">
        <v>0.19</v>
      </c>
      <c r="D38" s="1" t="str">
        <f t="shared" si="0"/>
        <v>0.942+0.19j</v>
      </c>
      <c r="E38">
        <v>1.0099999904632571</v>
      </c>
      <c r="F38" s="1" t="str">
        <f t="shared" si="1"/>
        <v>0.942-0.19j</v>
      </c>
      <c r="G38" s="1" t="str">
        <f t="shared" si="2"/>
        <v>0.92343889598013-0.186256252904697j</v>
      </c>
      <c r="H38" s="1" t="str">
        <f t="shared" si="3"/>
        <v>0.9234-0.1863j</v>
      </c>
      <c r="I38" s="4"/>
      <c r="L38" s="1">
        <v>39</v>
      </c>
      <c r="M38" s="1" t="s">
        <v>26</v>
      </c>
    </row>
    <row r="39" spans="1:13" x14ac:dyDescent="0.3">
      <c r="A39" s="1">
        <v>4</v>
      </c>
      <c r="B39" s="1">
        <v>0.47799999999999998</v>
      </c>
      <c r="C39" s="1">
        <v>0</v>
      </c>
      <c r="D39" s="1" t="str">
        <f t="shared" si="0"/>
        <v>0.478</v>
      </c>
      <c r="E39">
        <v>1.0186536312103269</v>
      </c>
      <c r="F39" s="1" t="str">
        <f t="shared" si="1"/>
        <v>0.478</v>
      </c>
      <c r="G39" s="1" t="str">
        <f t="shared" si="2"/>
        <v>0.460653973124021</v>
      </c>
      <c r="H39" s="1" t="str">
        <f t="shared" si="3"/>
        <v>0.4607</v>
      </c>
      <c r="I39" s="4"/>
    </row>
    <row r="40" spans="1:13" x14ac:dyDescent="0.3">
      <c r="A40" s="1">
        <v>5</v>
      </c>
      <c r="B40" s="1">
        <v>7.5999999999999998E-2</v>
      </c>
      <c r="C40" s="1">
        <v>1.6E-2</v>
      </c>
      <c r="D40" s="1" t="str">
        <f t="shared" si="0"/>
        <v>0.076+0.016j</v>
      </c>
      <c r="E40">
        <v>1.027456641197205</v>
      </c>
      <c r="F40" s="1" t="str">
        <f t="shared" si="1"/>
        <v>0.076-0.016j</v>
      </c>
      <c r="G40" s="1" t="str">
        <f t="shared" si="2"/>
        <v>0.0719923889202189-0.0151562924042566j</v>
      </c>
      <c r="H40" s="1" t="str">
        <f t="shared" si="3"/>
        <v>0.072-0.0152j</v>
      </c>
      <c r="I40" s="4"/>
    </row>
    <row r="41" spans="1:13" x14ac:dyDescent="0.3">
      <c r="A41" s="1">
        <v>6</v>
      </c>
      <c r="B41" s="1">
        <v>0.112</v>
      </c>
      <c r="C41" s="1">
        <v>7.4999999999999997E-2</v>
      </c>
      <c r="D41" s="1" t="str">
        <f t="shared" si="0"/>
        <v>0.112+0.075j</v>
      </c>
      <c r="E41">
        <v>1.0431938171386721</v>
      </c>
      <c r="F41" s="1" t="str">
        <f t="shared" si="1"/>
        <v>0.112-0.075j</v>
      </c>
      <c r="G41" s="1" t="str">
        <f t="shared" si="2"/>
        <v>0.102917212262381-0.0689177760685588j</v>
      </c>
      <c r="H41" s="1" t="str">
        <f t="shared" si="3"/>
        <v>0.1029-0.0689j</v>
      </c>
      <c r="I41" s="4"/>
    </row>
    <row r="42" spans="1:13" x14ac:dyDescent="0.3">
      <c r="A42" s="1">
        <v>7</v>
      </c>
      <c r="B42" s="1">
        <v>0</v>
      </c>
      <c r="C42" s="1">
        <v>0</v>
      </c>
      <c r="D42" s="1" t="str">
        <f t="shared" si="0"/>
        <v>0</v>
      </c>
      <c r="E42">
        <v>1.0331487655639651</v>
      </c>
      <c r="F42" s="1" t="str">
        <f t="shared" si="1"/>
        <v>0</v>
      </c>
      <c r="G42" s="1" t="str">
        <f t="shared" si="2"/>
        <v>0</v>
      </c>
      <c r="H42" s="1" t="str">
        <f t="shared" si="3"/>
        <v>0</v>
      </c>
      <c r="I42" s="4"/>
    </row>
    <row r="43" spans="1:13" x14ac:dyDescent="0.3">
      <c r="A43" s="1">
        <v>8</v>
      </c>
      <c r="B43" s="1">
        <v>0</v>
      </c>
      <c r="C43" s="1">
        <v>0</v>
      </c>
      <c r="D43" s="1" t="str">
        <f t="shared" si="0"/>
        <v>0</v>
      </c>
      <c r="E43">
        <v>1.069104671478271</v>
      </c>
      <c r="F43" s="1" t="str">
        <f t="shared" si="1"/>
        <v>0</v>
      </c>
      <c r="G43" s="1" t="str">
        <f t="shared" si="2"/>
        <v>0</v>
      </c>
      <c r="H43" s="1" t="str">
        <f t="shared" si="3"/>
        <v>0</v>
      </c>
      <c r="I43" s="4"/>
    </row>
    <row r="44" spans="1:13" x14ac:dyDescent="0.3">
      <c r="A44" s="1">
        <v>9</v>
      </c>
      <c r="B44" s="1">
        <v>0.29499999999999998</v>
      </c>
      <c r="C44" s="1">
        <v>0.16600000000000001</v>
      </c>
      <c r="D44" s="1" t="str">
        <f t="shared" si="0"/>
        <v>0.295+0.166j</v>
      </c>
      <c r="E44">
        <v>1.0151023864746089</v>
      </c>
      <c r="F44" s="1" t="str">
        <f t="shared" si="1"/>
        <v>0.295-0.166j</v>
      </c>
      <c r="G44" s="1" t="str">
        <f t="shared" si="2"/>
        <v>0.286287455374692-0.161097347770166j</v>
      </c>
      <c r="H44" s="1" t="str">
        <f t="shared" si="3"/>
        <v>0.2863-0.1611j</v>
      </c>
      <c r="I44" s="4"/>
    </row>
    <row r="45" spans="1:13" x14ac:dyDescent="0.3">
      <c r="A45" s="1">
        <v>10</v>
      </c>
      <c r="B45" s="1">
        <v>0.09</v>
      </c>
      <c r="C45" s="1">
        <v>5.8000000000000003E-2</v>
      </c>
      <c r="D45" s="1" t="str">
        <f t="shared" si="0"/>
        <v>0.09+0.058j</v>
      </c>
      <c r="E45">
        <v>1.0122838020324709</v>
      </c>
      <c r="F45" s="1" t="str">
        <f t="shared" si="1"/>
        <v>0.09-0.058j</v>
      </c>
      <c r="G45" s="1" t="str">
        <f t="shared" si="2"/>
        <v>0.087828999245986-0.056600910625191j</v>
      </c>
      <c r="H45" s="1" t="str">
        <f t="shared" si="3"/>
        <v>0.0878-0.0566j</v>
      </c>
      <c r="I45" s="4"/>
    </row>
    <row r="46" spans="1:13" x14ac:dyDescent="0.3">
      <c r="A46" s="1">
        <v>11</v>
      </c>
      <c r="B46" s="1">
        <v>3.5000000000000003E-2</v>
      </c>
      <c r="C46" s="1">
        <v>1.7999999999999999E-2</v>
      </c>
      <c r="D46" s="1" t="str">
        <f t="shared" si="0"/>
        <v>0.035+0.018j</v>
      </c>
      <c r="E46">
        <v>1.023853182792664</v>
      </c>
      <c r="F46" s="1" t="str">
        <f t="shared" si="1"/>
        <v>0.035-0.018j</v>
      </c>
      <c r="G46" s="1" t="str">
        <f t="shared" si="2"/>
        <v>0.0333881745256443-0.017171061184617j</v>
      </c>
      <c r="H46" s="1" t="str">
        <f t="shared" si="3"/>
        <v>0.0334-0.0172j</v>
      </c>
      <c r="I46" s="4"/>
    </row>
    <row r="47" spans="1:13" x14ac:dyDescent="0.3">
      <c r="A47" s="1">
        <v>12</v>
      </c>
      <c r="B47" s="1">
        <v>6.0999999999999999E-2</v>
      </c>
      <c r="C47" s="1">
        <v>1.6E-2</v>
      </c>
      <c r="D47" s="1" t="str">
        <f t="shared" si="0"/>
        <v>0.061+0.016j</v>
      </c>
      <c r="E47">
        <v>1.0290811061859131</v>
      </c>
      <c r="F47" s="1" t="str">
        <f t="shared" si="1"/>
        <v>0.061-0.016j</v>
      </c>
      <c r="G47" s="1" t="str">
        <f t="shared" si="2"/>
        <v>0.057601079905926-0.0151084799753248j</v>
      </c>
      <c r="H47" s="1" t="str">
        <f t="shared" si="3"/>
        <v>0.0576-0.0151j</v>
      </c>
      <c r="I47" s="4"/>
    </row>
    <row r="48" spans="1:13" x14ac:dyDescent="0.3">
      <c r="A48" s="1">
        <v>13</v>
      </c>
      <c r="B48" s="1">
        <v>0.13500000000000001</v>
      </c>
      <c r="C48" s="1">
        <v>5.8000000000000003E-2</v>
      </c>
      <c r="D48" s="1" t="str">
        <f t="shared" si="0"/>
        <v>0.135+0.058j</v>
      </c>
      <c r="E48">
        <v>1.0261098146438601</v>
      </c>
      <c r="F48" s="1" t="str">
        <f t="shared" si="1"/>
        <v>0.135-0.058j</v>
      </c>
      <c r="G48" s="1" t="str">
        <f t="shared" si="2"/>
        <v>0.128217139982722-0.0550858823629471j</v>
      </c>
      <c r="H48" s="1" t="str">
        <f t="shared" si="3"/>
        <v>0.1282-0.0551j</v>
      </c>
      <c r="I48" s="4"/>
    </row>
    <row r="49" spans="1:9" x14ac:dyDescent="0.3">
      <c r="A49" s="1">
        <v>14</v>
      </c>
      <c r="B49" s="1">
        <v>0.14899999999999999</v>
      </c>
      <c r="C49" s="1">
        <v>0.05</v>
      </c>
      <c r="D49" s="1" t="str">
        <f t="shared" si="0"/>
        <v>0.149+0.05j</v>
      </c>
      <c r="E49">
        <v>1.019879817962646</v>
      </c>
      <c r="F49" s="1" t="str">
        <f t="shared" si="1"/>
        <v>0.149-0.05j</v>
      </c>
      <c r="G49" s="1" t="str">
        <f t="shared" si="2"/>
        <v>0.143247902935028-0.0480697660855798j</v>
      </c>
      <c r="H49" s="1" t="str">
        <f t="shared" si="3"/>
        <v>0.1432-0.0481j</v>
      </c>
      <c r="I49" s="4"/>
    </row>
    <row r="52" spans="1:9" x14ac:dyDescent="0.3">
      <c r="E52"/>
    </row>
    <row r="53" spans="1:9" x14ac:dyDescent="0.3">
      <c r="E53"/>
    </row>
    <row r="54" spans="1:9" x14ac:dyDescent="0.3">
      <c r="E54"/>
    </row>
    <row r="55" spans="1:9" x14ac:dyDescent="0.3">
      <c r="E55"/>
    </row>
    <row r="56" spans="1:9" x14ac:dyDescent="0.3">
      <c r="E56"/>
    </row>
    <row r="57" spans="1:9" x14ac:dyDescent="0.3">
      <c r="E57"/>
    </row>
    <row r="58" spans="1:9" x14ac:dyDescent="0.3">
      <c r="E58"/>
    </row>
    <row r="59" spans="1:9" x14ac:dyDescent="0.3">
      <c r="C59" s="1">
        <v>1</v>
      </c>
      <c r="D59" s="1" t="s">
        <v>30</v>
      </c>
      <c r="E59"/>
    </row>
    <row r="60" spans="1:9" x14ac:dyDescent="0.3">
      <c r="C60" s="1">
        <v>2</v>
      </c>
      <c r="D60" s="1" t="s">
        <v>31</v>
      </c>
      <c r="E60"/>
    </row>
    <row r="61" spans="1:9" x14ac:dyDescent="0.3">
      <c r="C61" s="1">
        <v>3</v>
      </c>
      <c r="D61" s="1" t="s">
        <v>32</v>
      </c>
      <c r="E61"/>
    </row>
    <row r="62" spans="1:9" x14ac:dyDescent="0.3">
      <c r="C62" s="1">
        <v>4</v>
      </c>
      <c r="D62" s="1" t="s">
        <v>33</v>
      </c>
      <c r="E62"/>
    </row>
    <row r="63" spans="1:9" x14ac:dyDescent="0.3">
      <c r="C63" s="1">
        <v>5</v>
      </c>
      <c r="D63" s="1" t="s">
        <v>34</v>
      </c>
      <c r="E63"/>
    </row>
    <row r="64" spans="1:9" x14ac:dyDescent="0.3">
      <c r="C64" s="1">
        <v>6</v>
      </c>
      <c r="D64" s="1" t="s">
        <v>35</v>
      </c>
      <c r="E64"/>
    </row>
    <row r="65" spans="3:5" x14ac:dyDescent="0.3">
      <c r="C65" s="1">
        <v>7</v>
      </c>
      <c r="D65" s="1" t="s">
        <v>36</v>
      </c>
      <c r="E65"/>
    </row>
    <row r="66" spans="3:5" x14ac:dyDescent="0.3">
      <c r="C66" s="1">
        <v>8</v>
      </c>
      <c r="D66" s="1" t="s">
        <v>37</v>
      </c>
    </row>
    <row r="67" spans="3:5" x14ac:dyDescent="0.3">
      <c r="C67" s="1">
        <v>9</v>
      </c>
      <c r="D67" s="1" t="s">
        <v>38</v>
      </c>
    </row>
    <row r="68" spans="3:5" x14ac:dyDescent="0.3">
      <c r="C68" s="1">
        <v>10</v>
      </c>
      <c r="D68" s="1" t="s">
        <v>39</v>
      </c>
    </row>
    <row r="69" spans="3:5" x14ac:dyDescent="0.3">
      <c r="C69" s="1">
        <v>11</v>
      </c>
      <c r="D69" s="1" t="s">
        <v>40</v>
      </c>
    </row>
    <row r="70" spans="3:5" x14ac:dyDescent="0.3">
      <c r="C70" s="1">
        <v>12</v>
      </c>
    </row>
    <row r="71" spans="3:5" x14ac:dyDescent="0.3">
      <c r="C71" s="1">
        <v>13</v>
      </c>
    </row>
    <row r="72" spans="3:5" x14ac:dyDescent="0.3">
      <c r="C72" s="1">
        <v>14</v>
      </c>
    </row>
  </sheetData>
  <mergeCells count="3">
    <mergeCell ref="I2:I32"/>
    <mergeCell ref="I33:I35"/>
    <mergeCell ref="I36:I4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2025-12-20T05:30:59Z</dcterms:created>
  <dcterms:modified xsi:type="dcterms:W3CDTF">2026-02-03T15:09:10Z</dcterms:modified>
</cp:coreProperties>
</file>