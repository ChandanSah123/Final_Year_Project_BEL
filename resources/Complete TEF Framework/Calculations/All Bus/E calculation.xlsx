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Complete TEF Framework\Calculations\All Bus\"/>
    </mc:Choice>
  </mc:AlternateContent>
  <xr:revisionPtr revIDLastSave="0" documentId="13_ncr:1_{EF291793-99F7-426B-9444-CB90AF244BCB}" xr6:coauthVersionLast="36" xr6:coauthVersionMax="36" xr10:uidLastSave="{00000000-0000-0000-0000-000000000000}"/>
  <bookViews>
    <workbookView xWindow="0" yWindow="0" windowWidth="23040" windowHeight="9360" xr2:uid="{879DF73F-615F-46C8-BFB7-CD33A32BAA6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P19" i="1"/>
  <c r="P18" i="1"/>
  <c r="P17" i="1"/>
  <c r="P16" i="1"/>
  <c r="I16" i="1"/>
  <c r="K16" i="1" s="1"/>
  <c r="I17" i="1"/>
  <c r="K17" i="1" s="1"/>
  <c r="I18" i="1"/>
  <c r="K18" i="1" s="1"/>
  <c r="I19" i="1"/>
  <c r="K19" i="1" s="1"/>
  <c r="I20" i="1"/>
  <c r="K20" i="1" s="1"/>
  <c r="H16" i="1"/>
  <c r="J16" i="1" s="1"/>
  <c r="H17" i="1"/>
  <c r="J17" i="1" s="1"/>
  <c r="H18" i="1"/>
  <c r="J18" i="1" s="1"/>
  <c r="H19" i="1"/>
  <c r="J19" i="1" s="1"/>
  <c r="H20" i="1"/>
  <c r="J20" i="1" s="1"/>
  <c r="L20" i="1" l="1"/>
  <c r="M20" i="1" s="1"/>
  <c r="N20" i="1" s="1"/>
  <c r="Q20" i="1" s="1"/>
  <c r="R20" i="1" s="1"/>
  <c r="L19" i="1"/>
  <c r="M19" i="1" s="1"/>
  <c r="N19" i="1" s="1"/>
  <c r="Q19" i="1" s="1"/>
  <c r="R19" i="1" s="1"/>
  <c r="T19" i="1" s="1"/>
  <c r="L18" i="1"/>
  <c r="M18" i="1" s="1"/>
  <c r="N18" i="1" s="1"/>
  <c r="Q18" i="1" s="1"/>
  <c r="R18" i="1" s="1"/>
  <c r="T18" i="1" s="1"/>
  <c r="L17" i="1"/>
  <c r="M17" i="1" s="1"/>
  <c r="N17" i="1" s="1"/>
  <c r="Q17" i="1" s="1"/>
  <c r="R17" i="1" s="1"/>
  <c r="S17" i="1" s="1"/>
  <c r="L16" i="1"/>
  <c r="M16" i="1" s="1"/>
  <c r="N16" i="1" s="1"/>
  <c r="Q16" i="1" s="1"/>
  <c r="R16" i="1" s="1"/>
  <c r="S16" i="1" s="1"/>
  <c r="P15" i="1"/>
  <c r="P14" i="1"/>
  <c r="P13" i="1"/>
  <c r="I13" i="1"/>
  <c r="K13" i="1" s="1"/>
  <c r="I14" i="1"/>
  <c r="K14" i="1" s="1"/>
  <c r="I15" i="1"/>
  <c r="K15" i="1" s="1"/>
  <c r="H13" i="1"/>
  <c r="J13" i="1" s="1"/>
  <c r="H14" i="1"/>
  <c r="J14" i="1" s="1"/>
  <c r="H15" i="1"/>
  <c r="J15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3" i="1"/>
  <c r="J3" i="1" s="1"/>
  <c r="P4" i="1"/>
  <c r="P5" i="1"/>
  <c r="P6" i="1"/>
  <c r="P7" i="1"/>
  <c r="P8" i="1"/>
  <c r="P9" i="1"/>
  <c r="P10" i="1"/>
  <c r="P11" i="1"/>
  <c r="P12" i="1"/>
  <c r="P3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L14" i="1" l="1"/>
  <c r="M14" i="1" s="1"/>
  <c r="N14" i="1" s="1"/>
  <c r="S18" i="1"/>
  <c r="T20" i="1"/>
  <c r="S20" i="1"/>
  <c r="S19" i="1"/>
  <c r="T16" i="1"/>
  <c r="T17" i="1"/>
  <c r="L13" i="1"/>
  <c r="M13" i="1" s="1"/>
  <c r="N13" i="1" s="1"/>
  <c r="Q13" i="1" s="1"/>
  <c r="R13" i="1" s="1"/>
  <c r="T13" i="1" s="1"/>
  <c r="L15" i="1"/>
  <c r="M15" i="1" s="1"/>
  <c r="N15" i="1" s="1"/>
  <c r="Q15" i="1" s="1"/>
  <c r="R15" i="1" s="1"/>
  <c r="T15" i="1" s="1"/>
  <c r="Q14" i="1"/>
  <c r="R14" i="1" s="1"/>
  <c r="T14" i="1" s="1"/>
  <c r="L6" i="1"/>
  <c r="M6" i="1" s="1"/>
  <c r="N6" i="1" s="1"/>
  <c r="Q6" i="1" s="1"/>
  <c r="R6" i="1" s="1"/>
  <c r="L10" i="1"/>
  <c r="M10" i="1" s="1"/>
  <c r="N10" i="1" s="1"/>
  <c r="Q10" i="1" s="1"/>
  <c r="R10" i="1" s="1"/>
  <c r="L9" i="1"/>
  <c r="M9" i="1" s="1"/>
  <c r="N9" i="1" s="1"/>
  <c r="Q9" i="1" s="1"/>
  <c r="R9" i="1" s="1"/>
  <c r="L8" i="1"/>
  <c r="M8" i="1" s="1"/>
  <c r="N8" i="1" s="1"/>
  <c r="Q8" i="1" s="1"/>
  <c r="R8" i="1" s="1"/>
  <c r="L5" i="1"/>
  <c r="M5" i="1" s="1"/>
  <c r="N5" i="1" s="1"/>
  <c r="Q5" i="1" s="1"/>
  <c r="R5" i="1" s="1"/>
  <c r="L12" i="1"/>
  <c r="M12" i="1" s="1"/>
  <c r="N12" i="1" s="1"/>
  <c r="Q12" i="1" s="1"/>
  <c r="R12" i="1" s="1"/>
  <c r="L11" i="1"/>
  <c r="M11" i="1" s="1"/>
  <c r="N11" i="1" s="1"/>
  <c r="Q11" i="1" s="1"/>
  <c r="R11" i="1" s="1"/>
  <c r="L7" i="1"/>
  <c r="M7" i="1" s="1"/>
  <c r="N7" i="1" s="1"/>
  <c r="Q7" i="1" s="1"/>
  <c r="R7" i="1" s="1"/>
  <c r="L4" i="1"/>
  <c r="M4" i="1" s="1"/>
  <c r="N4" i="1" s="1"/>
  <c r="Q4" i="1" s="1"/>
  <c r="R4" i="1" s="1"/>
  <c r="L3" i="1"/>
  <c r="M3" i="1" s="1"/>
  <c r="N3" i="1" s="1"/>
  <c r="Q3" i="1" s="1"/>
  <c r="R3" i="1" s="1"/>
  <c r="S15" i="1" l="1"/>
  <c r="S11" i="1"/>
  <c r="T11" i="1"/>
  <c r="S12" i="1"/>
  <c r="T12" i="1"/>
  <c r="S5" i="1"/>
  <c r="T5" i="1"/>
  <c r="S8" i="1"/>
  <c r="T8" i="1"/>
  <c r="S9" i="1"/>
  <c r="T9" i="1"/>
  <c r="S10" i="1"/>
  <c r="T10" i="1"/>
  <c r="S6" i="1"/>
  <c r="T6" i="1"/>
  <c r="S13" i="1"/>
  <c r="S14" i="1"/>
  <c r="S4" i="1"/>
  <c r="T4" i="1"/>
  <c r="S7" i="1"/>
  <c r="T7" i="1"/>
  <c r="S3" i="1"/>
  <c r="T3" i="1"/>
</calcChain>
</file>

<file path=xl/sharedStrings.xml><?xml version="1.0" encoding="utf-8"?>
<sst xmlns="http://schemas.openxmlformats.org/spreadsheetml/2006/main" count="21" uniqueCount="21">
  <si>
    <t>P</t>
  </si>
  <si>
    <t>Q</t>
  </si>
  <si>
    <t>del</t>
  </si>
  <si>
    <t>Bus</t>
  </si>
  <si>
    <t>V</t>
  </si>
  <si>
    <t>S=P+jQ</t>
  </si>
  <si>
    <t>V(complex)</t>
  </si>
  <si>
    <t>rounded S</t>
  </si>
  <si>
    <t>Rounded V</t>
  </si>
  <si>
    <t>Iconj</t>
  </si>
  <si>
    <t>I</t>
  </si>
  <si>
    <t>Round I</t>
  </si>
  <si>
    <t>xd'</t>
  </si>
  <si>
    <t>cmplx xd'</t>
  </si>
  <si>
    <t>E</t>
  </si>
  <si>
    <t>E FINAL</t>
  </si>
  <si>
    <t>E ABS</t>
  </si>
  <si>
    <t>E ANGLE</t>
  </si>
  <si>
    <t>Ecac 39bus</t>
  </si>
  <si>
    <t>9bus</t>
  </si>
  <si>
    <t>14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</si>
</sst>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CA74-521A-4EF9-8E99-F3EE393AACEC}">
  <dimension ref="B2:T20"/>
  <sheetViews>
    <sheetView tabSelected="1" topLeftCell="P1" workbookViewId="0">
      <selection activeCell="S3" sqref="S3:S12"/>
    </sheetView>
  </sheetViews>
  <sheetFormatPr defaultRowHeight="14.4" x14ac:dyDescent="0.3"/>
  <cols>
    <col min="4" max="4" width="12.33203125" customWidth="1"/>
    <col min="5" max="5" width="14.6640625" customWidth="1"/>
    <col min="6" max="6" width="19.6640625" customWidth="1"/>
    <col min="7" max="7" width="14.33203125" customWidth="1"/>
    <col min="8" max="8" width="18.21875" customWidth="1"/>
    <col min="9" max="9" width="21.44140625" customWidth="1"/>
    <col min="10" max="10" width="26.109375" customWidth="1"/>
    <col min="11" max="11" width="15" customWidth="1"/>
    <col min="12" max="12" width="12" customWidth="1"/>
    <col min="13" max="13" width="7.5546875" customWidth="1"/>
    <col min="14" max="14" width="18.88671875" customWidth="1"/>
    <col min="15" max="15" width="7.88671875" customWidth="1"/>
    <col min="16" max="16" width="8.33203125" customWidth="1"/>
    <col min="17" max="17" width="7.44140625" customWidth="1"/>
    <col min="18" max="18" width="15.44140625" customWidth="1"/>
    <col min="19" max="19" width="12.44140625" customWidth="1"/>
    <col min="20" max="20" width="10.33203125" customWidth="1"/>
    <col min="21" max="21" width="12.33203125" customWidth="1"/>
    <col min="22" max="22" width="12.88671875" customWidth="1"/>
  </cols>
  <sheetData>
    <row r="2" spans="2:20" x14ac:dyDescent="0.3">
      <c r="C2" t="s">
        <v>3</v>
      </c>
      <c r="D2" t="s">
        <v>0</v>
      </c>
      <c r="E2" t="s">
        <v>1</v>
      </c>
      <c r="F2" t="s">
        <v>4</v>
      </c>
      <c r="G2" t="s">
        <v>2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</row>
    <row r="3" spans="2:20" x14ac:dyDescent="0.3">
      <c r="B3" s="2" t="s">
        <v>18</v>
      </c>
      <c r="C3">
        <v>30</v>
      </c>
      <c r="D3">
        <v>250</v>
      </c>
      <c r="E3">
        <v>157.51</v>
      </c>
      <c r="F3">
        <v>1.0469999999999999</v>
      </c>
      <c r="G3">
        <v>-3.359640919465277</v>
      </c>
      <c r="H3" t="str">
        <f>IMDIV(COMPLEX(D3, E3, "i"),100)</f>
        <v>2.5+1.5751i</v>
      </c>
      <c r="I3" t="str">
        <f>COMPLEX(F3*COS(RADIANS(G3)), F3*SIN(RADIANS(G3)), "i")</f>
        <v>1.04520057932241-0.0613575503430616i</v>
      </c>
      <c r="J3" t="str">
        <f>COMPLEX(ROUND(IMREAL(H3), 4), ROUND(IMAGINARY(H3), 4))</f>
        <v>2.5+1.5751i</v>
      </c>
      <c r="K3" t="str">
        <f>COMPLEX(ROUND(IMREAL(I3), 4), ROUND(IMAGINARY(I3), 4))</f>
        <v>1.0452-0.0614i</v>
      </c>
      <c r="L3" t="str">
        <f>IMDIV(J3, K3)</f>
        <v>2.29543789391295+1.64182920655019i</v>
      </c>
      <c r="M3" t="str">
        <f>IMCONJUGATE(L3)</f>
        <v>2.29543789391295-1.64182920655019i</v>
      </c>
      <c r="N3" t="str">
        <f>COMPLEX(ROUND(IMREAL(M3), 4), ROUND(IMAGINARY(M3), 4))</f>
        <v>2.2954-1.6418i</v>
      </c>
      <c r="O3">
        <v>2.5000000000000001E-2</v>
      </c>
      <c r="P3" t="str">
        <f>COMPLEX(0, O3, "i")</f>
        <v>0.025i</v>
      </c>
      <c r="Q3" t="str">
        <f>IMSUM(K3,IMPRODUCT(N3,P3))</f>
        <v>1.086245-0.004015i</v>
      </c>
      <c r="R3" t="str">
        <f>COMPLEX(ROUND(IMREAL(Q3), 4), ROUND(IMAGINARY(Q3), 4))</f>
        <v>1.0862-0.004i</v>
      </c>
      <c r="S3" s="1">
        <f>IMABS(R3)</f>
        <v>1.0862073651011579</v>
      </c>
      <c r="T3" s="1">
        <f xml:space="preserve"> (IMARGUMENT(R3))</f>
        <v>-3.6825464172830346E-3</v>
      </c>
    </row>
    <row r="4" spans="2:20" x14ac:dyDescent="0.3">
      <c r="B4" s="2"/>
      <c r="C4">
        <v>31</v>
      </c>
      <c r="D4">
        <v>521.64</v>
      </c>
      <c r="E4">
        <v>207.54</v>
      </c>
      <c r="F4">
        <v>0.98199999999999998</v>
      </c>
      <c r="G4">
        <v>0</v>
      </c>
      <c r="H4" t="str">
        <f t="shared" ref="H4:H20" si="0">IMDIV(COMPLEX(D4, E4, "i"),100)</f>
        <v>5.2164+2.0754i</v>
      </c>
      <c r="I4" t="str">
        <f t="shared" ref="I4:I20" si="1">COMPLEX(F4*COS(RADIANS(G4)), F4*SIN(RADIANS(G4)), "i")</f>
        <v>0.982</v>
      </c>
      <c r="J4" t="str">
        <f t="shared" ref="J4:J20" si="2">COMPLEX(ROUND(IMREAL(H4), 4), ROUND(IMAGINARY(H4), 4))</f>
        <v>5.2164+2.0754i</v>
      </c>
      <c r="K4" t="str">
        <f t="shared" ref="K4:K20" si="3">COMPLEX(ROUND(IMREAL(I4), 4), ROUND(IMAGINARY(I4), 4))</f>
        <v>0.982</v>
      </c>
      <c r="L4" t="str">
        <f t="shared" ref="L4:L20" si="4">IMDIV(J4, K4)</f>
        <v>5.31201629327902+2.11344195519348i</v>
      </c>
      <c r="M4" t="str">
        <f t="shared" ref="M4:M20" si="5">IMCONJUGATE(L4)</f>
        <v>5.31201629327902-2.11344195519348i</v>
      </c>
      <c r="N4" t="str">
        <f t="shared" ref="N4:N20" si="6">COMPLEX(ROUND(IMREAL(M4), 4), ROUND(IMAGINARY(M4), 4))</f>
        <v>5.312-2.1134i</v>
      </c>
      <c r="O4">
        <v>0.05</v>
      </c>
      <c r="P4" t="str">
        <f t="shared" ref="P4:P20" si="7">COMPLEX(0, O4, "i")</f>
        <v>0.05i</v>
      </c>
      <c r="Q4" t="str">
        <f t="shared" ref="Q4:Q20" si="8">IMSUM(K4,IMPRODUCT(N4,P4))</f>
        <v>1.08767+0.2656i</v>
      </c>
      <c r="R4" t="str">
        <f t="shared" ref="R4:R20" si="9">COMPLEX(ROUND(IMREAL(Q4), 4), ROUND(IMAGINARY(Q4), 4))</f>
        <v>1.0877+0.2656i</v>
      </c>
      <c r="S4" s="1">
        <f t="shared" ref="S4:S20" si="10">IMABS(R4)</f>
        <v>1.1196582737603467</v>
      </c>
      <c r="T4" s="1">
        <f t="shared" ref="T4:T20" si="11" xml:space="preserve"> (IMARGUMENT(R4))</f>
        <v>0.23949825702999589</v>
      </c>
    </row>
    <row r="5" spans="2:20" x14ac:dyDescent="0.3">
      <c r="B5" s="2"/>
      <c r="C5">
        <v>32</v>
      </c>
      <c r="D5">
        <v>650</v>
      </c>
      <c r="E5">
        <v>217.58</v>
      </c>
      <c r="F5">
        <v>0.98299999999999998</v>
      </c>
      <c r="G5">
        <v>2.5734586117967169</v>
      </c>
      <c r="H5" t="str">
        <f t="shared" si="0"/>
        <v>6.5+2.1758i</v>
      </c>
      <c r="I5" t="str">
        <f t="shared" si="1"/>
        <v>0.982008621216148+0.0441369217000917i</v>
      </c>
      <c r="J5" t="str">
        <f t="shared" si="2"/>
        <v>6.5+2.1758i</v>
      </c>
      <c r="K5" t="str">
        <f t="shared" si="3"/>
        <v>0.982+0.0441i</v>
      </c>
      <c r="L5" t="str">
        <f t="shared" si="4"/>
        <v>6.70512461227016+1.91456619612921i</v>
      </c>
      <c r="M5" t="str">
        <f t="shared" si="5"/>
        <v>6.70512461227016-1.91456619612921i</v>
      </c>
      <c r="N5" t="str">
        <f t="shared" si="6"/>
        <v>6.7051-1.9146i</v>
      </c>
      <c r="O5">
        <v>4.4999999999999998E-2</v>
      </c>
      <c r="P5" t="str">
        <f t="shared" si="7"/>
        <v>0.045i</v>
      </c>
      <c r="Q5" t="str">
        <f t="shared" si="8"/>
        <v>1.068157+0.3458295i</v>
      </c>
      <c r="R5" t="str">
        <f t="shared" si="9"/>
        <v>1.0682+0.3458i</v>
      </c>
      <c r="S5" s="1">
        <f t="shared" si="10"/>
        <v>1.1227773065038322</v>
      </c>
      <c r="T5" s="1">
        <f t="shared" si="11"/>
        <v>0.31307569314258027</v>
      </c>
    </row>
    <row r="6" spans="2:20" x14ac:dyDescent="0.3">
      <c r="B6" s="2"/>
      <c r="C6">
        <v>33</v>
      </c>
      <c r="D6">
        <v>632</v>
      </c>
      <c r="E6">
        <v>134.68</v>
      </c>
      <c r="F6">
        <v>0.997</v>
      </c>
      <c r="G6">
        <v>4.2656981697094372</v>
      </c>
      <c r="H6" t="str">
        <f t="shared" si="0"/>
        <v>6.32+1.3468i</v>
      </c>
      <c r="I6" t="str">
        <f t="shared" si="1"/>
        <v>0.994238153543902+0.0741585735947769i</v>
      </c>
      <c r="J6" t="str">
        <f t="shared" si="2"/>
        <v>6.32+1.3468i</v>
      </c>
      <c r="K6" t="str">
        <f t="shared" si="3"/>
        <v>0.9942+0.0742i</v>
      </c>
      <c r="L6" t="str">
        <f t="shared" si="4"/>
        <v>6.42219971425216+0.875349810101076i</v>
      </c>
      <c r="M6" t="str">
        <f t="shared" si="5"/>
        <v>6.42219971425216-0.875349810101076i</v>
      </c>
      <c r="N6" t="str">
        <f t="shared" si="6"/>
        <v>6.4222-0.8753i</v>
      </c>
      <c r="O6">
        <v>3.5000000000000003E-2</v>
      </c>
      <c r="P6" t="str">
        <f t="shared" si="7"/>
        <v>0.035i</v>
      </c>
      <c r="Q6" t="str">
        <f t="shared" si="8"/>
        <v>1.0248355+0.298977i</v>
      </c>
      <c r="R6" t="str">
        <f t="shared" si="9"/>
        <v>1.0248+0.299i</v>
      </c>
      <c r="S6" s="1">
        <f t="shared" si="10"/>
        <v>1.0675280043165143</v>
      </c>
      <c r="T6" s="1">
        <f t="shared" si="11"/>
        <v>0.28388403659172312</v>
      </c>
    </row>
    <row r="7" spans="2:20" x14ac:dyDescent="0.3">
      <c r="B7" s="2"/>
      <c r="C7">
        <v>34</v>
      </c>
      <c r="D7">
        <v>508</v>
      </c>
      <c r="E7">
        <v>177.23</v>
      </c>
      <c r="F7">
        <v>1.012</v>
      </c>
      <c r="G7">
        <v>3.231830364291179</v>
      </c>
      <c r="H7" t="str">
        <f t="shared" si="0"/>
        <v>5.08+1.7723i</v>
      </c>
      <c r="I7" t="str">
        <f t="shared" si="1"/>
        <v>1.01039051395555+0.0570526888818127i</v>
      </c>
      <c r="J7" t="str">
        <f t="shared" si="2"/>
        <v>5.08+1.7723i</v>
      </c>
      <c r="K7" t="str">
        <f t="shared" si="3"/>
        <v>1.0104+0.0571i</v>
      </c>
      <c r="L7" t="str">
        <f t="shared" si="4"/>
        <v>5.1105164553136+1.46525090103087i</v>
      </c>
      <c r="M7" t="str">
        <f t="shared" si="5"/>
        <v>5.1105164553136-1.46525090103087i</v>
      </c>
      <c r="N7" t="str">
        <f t="shared" si="6"/>
        <v>5.1105-1.4653i</v>
      </c>
      <c r="O7">
        <v>8.8999999999999996E-2</v>
      </c>
      <c r="P7" t="str">
        <f t="shared" si="7"/>
        <v>0.089i</v>
      </c>
      <c r="Q7" t="str">
        <f t="shared" si="8"/>
        <v>1.1408117+0.5119345i</v>
      </c>
      <c r="R7" t="str">
        <f t="shared" si="9"/>
        <v>1.1408+0.5119i</v>
      </c>
      <c r="S7" s="1">
        <f t="shared" si="10"/>
        <v>1.2503864402655684</v>
      </c>
      <c r="T7" s="1">
        <f t="shared" si="11"/>
        <v>0.42178913079745889</v>
      </c>
    </row>
    <row r="8" spans="2:20" x14ac:dyDescent="0.3">
      <c r="B8" s="2"/>
      <c r="C8">
        <v>35</v>
      </c>
      <c r="D8">
        <v>650</v>
      </c>
      <c r="E8">
        <v>334.16</v>
      </c>
      <c r="F8">
        <v>1.0489999999999999</v>
      </c>
      <c r="G8">
        <v>5.5896803945581031</v>
      </c>
      <c r="H8" t="str">
        <f t="shared" si="0"/>
        <v>6.5+3.3416i</v>
      </c>
      <c r="I8" t="str">
        <f t="shared" si="1"/>
        <v>1.04401196262232+0.102176425370529i</v>
      </c>
      <c r="J8" t="str">
        <f t="shared" si="2"/>
        <v>6.5+3.3416i</v>
      </c>
      <c r="K8" t="str">
        <f t="shared" si="3"/>
        <v>1.044+0.1022i</v>
      </c>
      <c r="L8" t="str">
        <f t="shared" si="4"/>
        <v>6.47731336361691+2.56668445808271i</v>
      </c>
      <c r="M8" t="str">
        <f t="shared" si="5"/>
        <v>6.47731336361691-2.56668445808271i</v>
      </c>
      <c r="N8" t="str">
        <f t="shared" si="6"/>
        <v>6.4773-2.5667i</v>
      </c>
      <c r="O8">
        <v>0.04</v>
      </c>
      <c r="P8" t="str">
        <f t="shared" si="7"/>
        <v>0.04i</v>
      </c>
      <c r="Q8" t="str">
        <f t="shared" si="8"/>
        <v>1.146668+0.361292i</v>
      </c>
      <c r="R8" t="str">
        <f t="shared" si="9"/>
        <v>1.1467+0.3613i</v>
      </c>
      <c r="S8" s="1">
        <f t="shared" si="10"/>
        <v>1.2022722570200146</v>
      </c>
      <c r="T8" s="1">
        <f t="shared" si="11"/>
        <v>0.30523182765062468</v>
      </c>
    </row>
    <row r="9" spans="2:20" x14ac:dyDescent="0.3">
      <c r="B9" s="2"/>
      <c r="C9">
        <v>36</v>
      </c>
      <c r="D9">
        <v>761.97</v>
      </c>
      <c r="E9">
        <v>1.03</v>
      </c>
      <c r="F9">
        <v>0.998</v>
      </c>
      <c r="G9">
        <v>13.095369723956409</v>
      </c>
      <c r="H9" t="str">
        <f t="shared" si="0"/>
        <v>7.6197+0.0103i</v>
      </c>
      <c r="I9" t="str">
        <f t="shared" si="1"/>
        <v>0.972046292036938+0.226119451036922i</v>
      </c>
      <c r="J9" t="str">
        <f t="shared" si="2"/>
        <v>7.6197+0.0103i</v>
      </c>
      <c r="K9" t="str">
        <f t="shared" si="3"/>
        <v>0.972+0.2261i</v>
      </c>
      <c r="L9" t="str">
        <f t="shared" si="4"/>
        <v>7.43913894174728-1.71984497400109i</v>
      </c>
      <c r="M9" t="str">
        <f t="shared" si="5"/>
        <v>7.43913894174728+1.71984497400109i</v>
      </c>
      <c r="N9" t="str">
        <f t="shared" si="6"/>
        <v>7.4391+1.7198i</v>
      </c>
      <c r="O9">
        <v>4.3999999999999997E-2</v>
      </c>
      <c r="P9" t="str">
        <f t="shared" si="7"/>
        <v>0.044i</v>
      </c>
      <c r="Q9" t="str">
        <f t="shared" si="8"/>
        <v>0.8963288+0.5534204i</v>
      </c>
      <c r="R9" t="str">
        <f t="shared" si="9"/>
        <v>0.8963+0.5534i</v>
      </c>
      <c r="S9" s="1">
        <f t="shared" si="10"/>
        <v>1.0533780185669339</v>
      </c>
      <c r="T9" s="1">
        <f t="shared" si="11"/>
        <v>0.55313516379606609</v>
      </c>
    </row>
    <row r="10" spans="2:20" x14ac:dyDescent="0.3">
      <c r="B10" s="2"/>
      <c r="C10">
        <v>37</v>
      </c>
      <c r="D10">
        <v>540</v>
      </c>
      <c r="E10">
        <v>8.41</v>
      </c>
      <c r="F10">
        <v>1.028</v>
      </c>
      <c r="G10">
        <v>2.4009429744010049</v>
      </c>
      <c r="H10" t="str">
        <f t="shared" si="0"/>
        <v>5.4+0.0841i</v>
      </c>
      <c r="I10" t="str">
        <f t="shared" si="1"/>
        <v>1.02709756071536+0.0430650760193811i</v>
      </c>
      <c r="J10" t="str">
        <f t="shared" si="2"/>
        <v>5.4+0.0841i</v>
      </c>
      <c r="K10" t="str">
        <f t="shared" si="3"/>
        <v>1.0271+0.0431i</v>
      </c>
      <c r="L10" t="str">
        <f t="shared" si="4"/>
        <v>5.2517095180185-0.138495453438416i</v>
      </c>
      <c r="M10" t="str">
        <f t="shared" si="5"/>
        <v>5.2517095180185+0.138495453438416i</v>
      </c>
      <c r="N10" t="str">
        <f t="shared" si="6"/>
        <v>5.2517+0.1385i</v>
      </c>
      <c r="O10">
        <v>4.4999999999999998E-2</v>
      </c>
      <c r="P10" t="str">
        <f t="shared" si="7"/>
        <v>0.045i</v>
      </c>
      <c r="Q10" t="str">
        <f t="shared" si="8"/>
        <v>1.0208675+0.2794265i</v>
      </c>
      <c r="R10" t="str">
        <f t="shared" si="9"/>
        <v>1.0209+0.2794i</v>
      </c>
      <c r="S10" s="1">
        <f t="shared" si="10"/>
        <v>1.0584428043120704</v>
      </c>
      <c r="T10" s="1">
        <f t="shared" si="11"/>
        <v>0.26713868393155921</v>
      </c>
    </row>
    <row r="11" spans="2:20" x14ac:dyDescent="0.3">
      <c r="B11" s="2"/>
      <c r="C11">
        <v>38</v>
      </c>
      <c r="D11">
        <v>830</v>
      </c>
      <c r="E11">
        <v>31.39</v>
      </c>
      <c r="F11">
        <v>1.026</v>
      </c>
      <c r="G11">
        <v>7.8106150140438917</v>
      </c>
      <c r="H11" t="str">
        <f t="shared" si="0"/>
        <v>8.3+0.3139i</v>
      </c>
      <c r="I11" t="str">
        <f t="shared" si="1"/>
        <v>1.01648146953526+0.139432500126173i</v>
      </c>
      <c r="J11" t="str">
        <f t="shared" si="2"/>
        <v>8.3+0.3139i</v>
      </c>
      <c r="K11" t="str">
        <f t="shared" si="3"/>
        <v>1.0165+0.1394i</v>
      </c>
      <c r="L11" t="str">
        <f t="shared" si="4"/>
        <v>8.05611334788398-0.795988392223342i</v>
      </c>
      <c r="M11" t="str">
        <f t="shared" si="5"/>
        <v>8.05611334788398+0.795988392223342i</v>
      </c>
      <c r="N11" t="str">
        <f t="shared" si="6"/>
        <v>8.0561+0.796i</v>
      </c>
      <c r="O11">
        <v>4.4999999999999998E-2</v>
      </c>
      <c r="P11" t="str">
        <f t="shared" si="7"/>
        <v>0.045i</v>
      </c>
      <c r="Q11" t="str">
        <f t="shared" si="8"/>
        <v>0.98068+0.5019245i</v>
      </c>
      <c r="R11" t="str">
        <f t="shared" si="9"/>
        <v>0.9807+0.5019i</v>
      </c>
      <c r="S11" s="1">
        <f t="shared" si="10"/>
        <v>1.1016696873382694</v>
      </c>
      <c r="T11" s="1">
        <f t="shared" si="11"/>
        <v>0.47302499823201172</v>
      </c>
    </row>
    <row r="12" spans="2:20" x14ac:dyDescent="0.3">
      <c r="B12" s="2"/>
      <c r="C12">
        <v>39</v>
      </c>
      <c r="D12">
        <v>1000</v>
      </c>
      <c r="E12">
        <v>95.54</v>
      </c>
      <c r="F12">
        <v>1.03</v>
      </c>
      <c r="G12">
        <v>-10.10253792400774</v>
      </c>
      <c r="H12" t="str">
        <f t="shared" si="0"/>
        <v>10+0.9554i</v>
      </c>
      <c r="I12" t="str">
        <f t="shared" si="1"/>
        <v>1.01403027345017-0.180672644654865i</v>
      </c>
      <c r="J12" t="str">
        <f t="shared" si="2"/>
        <v>10+0.9554i</v>
      </c>
      <c r="K12" t="str">
        <f t="shared" si="3"/>
        <v>1.014-0.1807i</v>
      </c>
      <c r="L12" t="str">
        <f t="shared" si="4"/>
        <v>9.39564821362945+2.61656176745842i</v>
      </c>
      <c r="M12" t="str">
        <f t="shared" si="5"/>
        <v>9.39564821362945-2.61656176745842i</v>
      </c>
      <c r="N12" t="str">
        <f t="shared" si="6"/>
        <v>9.3956-2.6166i</v>
      </c>
      <c r="O12">
        <v>4.0000000000000001E-3</v>
      </c>
      <c r="P12" t="str">
        <f t="shared" si="7"/>
        <v>0.004i</v>
      </c>
      <c r="Q12" t="str">
        <f t="shared" si="8"/>
        <v>1.0244664-0.1431176i</v>
      </c>
      <c r="R12" t="str">
        <f t="shared" si="9"/>
        <v>1.0245-0.1431i</v>
      </c>
      <c r="S12" s="1">
        <f t="shared" si="10"/>
        <v>1.0344456776457622</v>
      </c>
      <c r="T12" s="1">
        <f t="shared" si="11"/>
        <v>-0.1387800111351217</v>
      </c>
    </row>
    <row r="13" spans="2:20" x14ac:dyDescent="0.3">
      <c r="B13" s="2" t="s">
        <v>19</v>
      </c>
      <c r="C13">
        <v>1</v>
      </c>
      <c r="D13">
        <v>71.64</v>
      </c>
      <c r="E13">
        <v>27.05</v>
      </c>
      <c r="F13">
        <v>1.04</v>
      </c>
      <c r="G13">
        <v>0</v>
      </c>
      <c r="H13" t="str">
        <f t="shared" si="0"/>
        <v>0.7164+0.2705i</v>
      </c>
      <c r="I13" t="str">
        <f t="shared" si="1"/>
        <v>1.04</v>
      </c>
      <c r="J13" t="str">
        <f t="shared" si="2"/>
        <v>0.7164+0.2705i</v>
      </c>
      <c r="K13" t="str">
        <f t="shared" si="3"/>
        <v>1.04</v>
      </c>
      <c r="L13" t="str">
        <f t="shared" si="4"/>
        <v>0.688846153846154+0.260096153846154i</v>
      </c>
      <c r="M13" t="str">
        <f t="shared" si="5"/>
        <v>0.688846153846154-0.260096153846154i</v>
      </c>
      <c r="N13" t="str">
        <f t="shared" si="6"/>
        <v>0.6888-0.2601i</v>
      </c>
      <c r="O13">
        <v>6.8000000000000005E-2</v>
      </c>
      <c r="P13" t="str">
        <f t="shared" si="7"/>
        <v>0.068i</v>
      </c>
      <c r="Q13" t="str">
        <f t="shared" si="8"/>
        <v>1.0576868+0.0468384i</v>
      </c>
      <c r="R13" t="str">
        <f t="shared" si="9"/>
        <v>1.0577+0.0468i</v>
      </c>
      <c r="S13" s="1">
        <f t="shared" si="10"/>
        <v>1.0587348723830721</v>
      </c>
      <c r="T13" s="1">
        <f t="shared" si="11"/>
        <v>4.4218109351174241E-2</v>
      </c>
    </row>
    <row r="14" spans="2:20" x14ac:dyDescent="0.3">
      <c r="B14" s="2"/>
      <c r="C14">
        <v>2</v>
      </c>
      <c r="D14">
        <v>163</v>
      </c>
      <c r="E14">
        <v>6.65</v>
      </c>
      <c r="F14">
        <v>1.0249999999999999</v>
      </c>
      <c r="G14">
        <v>9.2800055630197811</v>
      </c>
      <c r="H14" t="str">
        <f t="shared" si="0"/>
        <v>1.63+0.0665i</v>
      </c>
      <c r="I14" t="str">
        <f t="shared" si="1"/>
        <v>1.01158485227608+0.165290915193716i</v>
      </c>
      <c r="J14" t="str">
        <f t="shared" si="2"/>
        <v>1.63+0.0665i</v>
      </c>
      <c r="K14" t="str">
        <f t="shared" si="3"/>
        <v>1.0116+0.1653i</v>
      </c>
      <c r="L14" t="str">
        <f t="shared" si="4"/>
        <v>1.57986654371522-0.192419869193482i</v>
      </c>
      <c r="M14" t="str">
        <f t="shared" si="5"/>
        <v>1.57986654371522+0.192419869193482i</v>
      </c>
      <c r="N14" t="str">
        <f t="shared" si="6"/>
        <v>1.5799+0.1924i</v>
      </c>
      <c r="O14">
        <v>0.1198</v>
      </c>
      <c r="P14" t="str">
        <f t="shared" si="7"/>
        <v>0.1198i</v>
      </c>
      <c r="Q14" t="str">
        <f t="shared" si="8"/>
        <v>0.98855048+0.35457202i</v>
      </c>
      <c r="R14" t="str">
        <f t="shared" si="9"/>
        <v>0.9886+0.3546i</v>
      </c>
      <c r="S14" s="1">
        <f t="shared" si="10"/>
        <v>1.0502719266932732</v>
      </c>
      <c r="T14" s="1">
        <f t="shared" si="11"/>
        <v>0.34439455710889361</v>
      </c>
    </row>
    <row r="15" spans="2:20" x14ac:dyDescent="0.3">
      <c r="B15" s="2"/>
      <c r="C15">
        <v>3</v>
      </c>
      <c r="D15">
        <v>85</v>
      </c>
      <c r="E15">
        <v>-10.86</v>
      </c>
      <c r="F15">
        <v>1.0249999999999999</v>
      </c>
      <c r="G15">
        <v>4.6647519719674317</v>
      </c>
      <c r="H15" t="str">
        <f t="shared" si="0"/>
        <v>0.85-0.1086i</v>
      </c>
      <c r="I15" t="str">
        <f t="shared" si="1"/>
        <v>1.02160479646769+0.0833585018712509i</v>
      </c>
      <c r="J15" t="str">
        <f t="shared" si="2"/>
        <v>0.85-0.1086i</v>
      </c>
      <c r="K15" t="str">
        <f t="shared" si="3"/>
        <v>1.0216+0.0834i</v>
      </c>
      <c r="L15" t="str">
        <f t="shared" si="4"/>
        <v>0.817898979701665-0.173074368546514i</v>
      </c>
      <c r="M15" t="str">
        <f t="shared" si="5"/>
        <v>0.817898979701665+0.173074368546514i</v>
      </c>
      <c r="N15" t="str">
        <f t="shared" si="6"/>
        <v>0.8179+0.1731i</v>
      </c>
      <c r="O15">
        <v>0.18129999999999999</v>
      </c>
      <c r="P15" t="str">
        <f t="shared" si="7"/>
        <v>0.1813i</v>
      </c>
      <c r="Q15" t="str">
        <f t="shared" si="8"/>
        <v>0.99021697+0.23168527i</v>
      </c>
      <c r="R15" t="str">
        <f t="shared" si="9"/>
        <v>0.9902+0.2317i</v>
      </c>
      <c r="S15" s="1">
        <f t="shared" si="10"/>
        <v>1.0169468668519512</v>
      </c>
      <c r="T15" s="1">
        <f t="shared" si="11"/>
        <v>0.22985757359896661</v>
      </c>
    </row>
    <row r="16" spans="2:20" x14ac:dyDescent="0.3">
      <c r="B16" s="2" t="s">
        <v>20</v>
      </c>
      <c r="C16">
        <v>1</v>
      </c>
      <c r="D16">
        <v>203.6</v>
      </c>
      <c r="E16">
        <v>-14.8</v>
      </c>
      <c r="F16">
        <v>1.06</v>
      </c>
      <c r="G16">
        <v>0</v>
      </c>
      <c r="H16" t="str">
        <f t="shared" si="0"/>
        <v>2.036-0.148i</v>
      </c>
      <c r="I16" t="str">
        <f t="shared" si="1"/>
        <v>1.06</v>
      </c>
      <c r="J16" t="str">
        <f t="shared" si="2"/>
        <v>2.036-0.148i</v>
      </c>
      <c r="K16" t="str">
        <f t="shared" si="3"/>
        <v>1.06</v>
      </c>
      <c r="L16" t="str">
        <f t="shared" si="4"/>
        <v>1.92075471698113-0.139622641509434i</v>
      </c>
      <c r="M16" t="str">
        <f t="shared" si="5"/>
        <v>1.92075471698113+0.139622641509434i</v>
      </c>
      <c r="N16" t="str">
        <f t="shared" si="6"/>
        <v>1.9208+0.1396i</v>
      </c>
      <c r="O16">
        <v>0.23</v>
      </c>
      <c r="P16" t="str">
        <f t="shared" si="7"/>
        <v>0.23i</v>
      </c>
      <c r="Q16" t="str">
        <f t="shared" si="8"/>
        <v>1.027892+0.441784i</v>
      </c>
      <c r="R16" t="str">
        <f t="shared" si="9"/>
        <v>1.0279+0.4418i</v>
      </c>
      <c r="S16" s="1">
        <f t="shared" si="10"/>
        <v>1.11882333279209</v>
      </c>
      <c r="T16" s="1">
        <f t="shared" si="11"/>
        <v>0.40593630102722122</v>
      </c>
    </row>
    <row r="17" spans="2:20" x14ac:dyDescent="0.3">
      <c r="B17" s="2"/>
      <c r="C17">
        <v>2</v>
      </c>
      <c r="D17">
        <v>40</v>
      </c>
      <c r="E17">
        <v>34.700000000000003</v>
      </c>
      <c r="F17">
        <v>1.0449999999999999</v>
      </c>
      <c r="G17">
        <v>-4.3600000000000003</v>
      </c>
      <c r="H17" t="str">
        <f t="shared" si="0"/>
        <v>0.4+0.347i</v>
      </c>
      <c r="I17" t="str">
        <f t="shared" si="1"/>
        <v>1.04197584234792-0.0794439674446199i</v>
      </c>
      <c r="J17" t="str">
        <f t="shared" si="2"/>
        <v>0.4+0.347i</v>
      </c>
      <c r="K17" t="str">
        <f t="shared" si="3"/>
        <v>1.042-0.0794i</v>
      </c>
      <c r="L17" t="str">
        <f t="shared" si="4"/>
        <v>0.356432082694897+0.360173423575791i</v>
      </c>
      <c r="M17" t="str">
        <f t="shared" si="5"/>
        <v>0.356432082694897-0.360173423575791i</v>
      </c>
      <c r="N17" t="str">
        <f t="shared" si="6"/>
        <v>0.3564-0.3602i</v>
      </c>
      <c r="O17">
        <v>0.13</v>
      </c>
      <c r="P17" t="str">
        <f t="shared" si="7"/>
        <v>0.13i</v>
      </c>
      <c r="Q17" t="str">
        <f t="shared" si="8"/>
        <v>1.088826-0.033068i</v>
      </c>
      <c r="R17" t="str">
        <f t="shared" si="9"/>
        <v>1.0888-0.0331i</v>
      </c>
      <c r="S17" s="1">
        <f t="shared" si="10"/>
        <v>1.0893030111038893</v>
      </c>
      <c r="T17" s="1">
        <f t="shared" si="11"/>
        <v>-3.0391080813263961E-2</v>
      </c>
    </row>
    <row r="18" spans="2:20" x14ac:dyDescent="0.3">
      <c r="B18" s="2"/>
      <c r="C18">
        <v>3</v>
      </c>
      <c r="D18">
        <v>0</v>
      </c>
      <c r="E18">
        <v>24.7</v>
      </c>
      <c r="F18">
        <v>1.01</v>
      </c>
      <c r="G18">
        <v>-11.71</v>
      </c>
      <c r="H18" t="str">
        <f t="shared" si="0"/>
        <v>0.247i</v>
      </c>
      <c r="I18" t="str">
        <f t="shared" si="1"/>
        <v>0.988979276674154-0.204987780877463i</v>
      </c>
      <c r="J18" t="str">
        <f t="shared" si="2"/>
        <v>0.247i</v>
      </c>
      <c r="K18" t="str">
        <f t="shared" si="3"/>
        <v>0.989-0.205i</v>
      </c>
      <c r="L18" t="str">
        <f t="shared" si="4"/>
        <v>-0.0496350522376209+0.239458861770766i</v>
      </c>
      <c r="M18" t="str">
        <f t="shared" si="5"/>
        <v>-0.0496350522376209-0.239458861770766i</v>
      </c>
      <c r="N18" t="str">
        <f t="shared" si="6"/>
        <v>-0.0496-0.2395i</v>
      </c>
      <c r="O18">
        <v>0.13</v>
      </c>
      <c r="P18" t="str">
        <f t="shared" si="7"/>
        <v>0.13i</v>
      </c>
      <c r="Q18" t="str">
        <f t="shared" si="8"/>
        <v>1.020135-0.211448i</v>
      </c>
      <c r="R18" t="str">
        <f t="shared" si="9"/>
        <v>1.0201-0.2114i</v>
      </c>
      <c r="S18" s="1">
        <f t="shared" si="10"/>
        <v>1.0417744333587764</v>
      </c>
      <c r="T18" s="1">
        <f t="shared" si="11"/>
        <v>-0.2043421150309187</v>
      </c>
    </row>
    <row r="19" spans="2:20" x14ac:dyDescent="0.3">
      <c r="B19" s="2"/>
      <c r="C19">
        <v>6</v>
      </c>
      <c r="D19">
        <v>0</v>
      </c>
      <c r="E19">
        <v>24</v>
      </c>
      <c r="F19">
        <v>1.0429999999999999</v>
      </c>
      <c r="G19">
        <v>-11.6</v>
      </c>
      <c r="H19" t="str">
        <f t="shared" si="0"/>
        <v>0.24i</v>
      </c>
      <c r="I19" t="str">
        <f t="shared" si="1"/>
        <v>1.02169698533212-0.209724271755241i</v>
      </c>
      <c r="J19" t="str">
        <f t="shared" si="2"/>
        <v>0.24i</v>
      </c>
      <c r="K19" t="str">
        <f t="shared" si="3"/>
        <v>1.0217-0.2097i</v>
      </c>
      <c r="L19" t="str">
        <f t="shared" si="4"/>
        <v>-0.0462639447028565+0.22540711637057i</v>
      </c>
      <c r="M19" t="str">
        <f t="shared" si="5"/>
        <v>-0.0462639447028565-0.22540711637057i</v>
      </c>
      <c r="N19" t="str">
        <f t="shared" si="6"/>
        <v>-0.0463-0.2254i</v>
      </c>
      <c r="O19">
        <v>0.12</v>
      </c>
      <c r="P19" t="str">
        <f t="shared" si="7"/>
        <v>0.12i</v>
      </c>
      <c r="Q19" t="str">
        <f t="shared" si="8"/>
        <v>1.048748-0.215256i</v>
      </c>
      <c r="R19" t="str">
        <f t="shared" si="9"/>
        <v>1.0487-0.2153i</v>
      </c>
      <c r="S19" s="1">
        <f t="shared" si="10"/>
        <v>1.0705726411598608</v>
      </c>
      <c r="T19" s="1">
        <f t="shared" si="11"/>
        <v>-0.20248821018837529</v>
      </c>
    </row>
    <row r="20" spans="2:20" x14ac:dyDescent="0.3">
      <c r="B20" s="2"/>
      <c r="C20">
        <v>8</v>
      </c>
      <c r="D20">
        <v>0</v>
      </c>
      <c r="E20">
        <v>24</v>
      </c>
      <c r="F20">
        <v>1.07</v>
      </c>
      <c r="G20">
        <v>-11.3</v>
      </c>
      <c r="H20" t="str">
        <f t="shared" si="0"/>
        <v>0.24i</v>
      </c>
      <c r="I20" t="str">
        <f t="shared" si="1"/>
        <v>1.04925768464488-0.209662374339494i</v>
      </c>
      <c r="J20" t="str">
        <f t="shared" si="2"/>
        <v>0.24i</v>
      </c>
      <c r="K20" t="str">
        <f t="shared" si="3"/>
        <v>1.0493-0.2097i</v>
      </c>
      <c r="L20" t="str">
        <f t="shared" si="4"/>
        <v>-0.0439544093352011+0.219939731594785i</v>
      </c>
      <c r="M20" t="str">
        <f t="shared" si="5"/>
        <v>-0.0439544093352011-0.219939731594785i</v>
      </c>
      <c r="N20" t="str">
        <f t="shared" si="6"/>
        <v>-0.044-0.2199i</v>
      </c>
      <c r="O20">
        <v>0.12</v>
      </c>
      <c r="P20" t="str">
        <f t="shared" si="7"/>
        <v>0.12i</v>
      </c>
      <c r="Q20" t="str">
        <f t="shared" si="8"/>
        <v>1.075688-0.21498i</v>
      </c>
      <c r="R20" t="str">
        <f t="shared" si="9"/>
        <v>1.0757-0.215i</v>
      </c>
      <c r="S20" s="1">
        <f t="shared" si="10"/>
        <v>1.096975610485484</v>
      </c>
      <c r="T20" s="1">
        <f t="shared" si="11"/>
        <v>-0.19727041459264544</v>
      </c>
    </row>
  </sheetData>
  <mergeCells count="3">
    <mergeCell ref="B3:B12"/>
    <mergeCell ref="B13:B15"/>
    <mergeCell ref="B16:B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2025-12-20T02:53:42Z</dcterms:created>
  <dcterms:modified xsi:type="dcterms:W3CDTF">2026-02-03T14:41:41Z</dcterms:modified>
</cp:coreProperties>
</file>